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README" sheetId="1" r:id="rId5"/>
    <sheet state="hidden" name="✅ validations" sheetId="2" r:id="rId6"/>
    <sheet state="visible" name="CONFIG" sheetId="3" r:id="rId7"/>
    <sheet state="visible" name="modal_split" sheetId="4" r:id="rId8"/>
    <sheet state="visible" name="fleet" sheetId="5" r:id="rId9"/>
    <sheet state="visible" name="macro" sheetId="6" r:id="rId10"/>
    <sheet state="visible" name="VKT and occupancy (if found)" sheetId="7" r:id="rId11"/>
    <sheet state="visible" name="Note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tc={818ffe5e-861f-49b5-9dd8-f8e137e13dcb}</author>
  </authors>
  <commentList>
    <comment authorId="0" xr:uid="{818ffe5e-861f-49b5-9dd8-f8e137e13dcb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By distance, or by pct of trips?
Reply:
	By % of trips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tc={abea581c-c1c9-41db-9ab7-c714e58cb62e}</author>
  </authors>
  <commentList>
    <comment authorId="0" xr:uid="{abea581c-c1c9-41db-9ab7-c714e58cb62e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 we use percentages? total counts are hard and you dont need them, right?
Reply:
	I would create another column (i.e. Fleet % total - but you have to put the total number) just in case you find it in the other way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tc={624022f1-6271-48ad-a3ac-8bba9cc799d2}</author>
  </authors>
  <commentList>
    <comment authorId="0" xr:uid="{624022f1-6271-48ad-a3ac-8bba9cc799d2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currency? Otherwise it changes day by day
Reply:
	Yes, I though it yesterday. Let's put local currency otherwise it will add complexity
</t>
      </text>
    </comment>
  </commentList>
</comments>
</file>

<file path=xl/sharedStrings.xml><?xml version="1.0" encoding="utf-8"?>
<sst xmlns="http://schemas.openxmlformats.org/spreadsheetml/2006/main" count="419" uniqueCount="180">
  <si>
    <t>Mobility Pathways Toolkit — Database Guide</t>
  </si>
  <si>
    <t>How to fill in data and how Python reads this file</t>
  </si>
  <si>
    <t>📁 FILE STRUCTURE</t>
  </si>
  <si>
    <t>Sheet</t>
  </si>
  <si>
    <t>Description</t>
  </si>
  <si>
    <t>📋 README</t>
  </si>
  <si>
    <t>This guide</t>
  </si>
  <si>
    <t>CONFIG</t>
  </si>
  <si>
    <t>Lab metadata: name, location, contact, year</t>
  </si>
  <si>
    <t>modal_split</t>
  </si>
  <si>
    <t>One row per mode per lab — % of trips</t>
  </si>
  <si>
    <t>fleet</t>
  </si>
  <si>
    <t>One row per mode+technology per lab — vehicle count</t>
  </si>
  <si>
    <t>macro</t>
  </si>
  <si>
    <t>Population, GDP per capita, demand growth per lab</t>
  </si>
  <si>
    <t>VKT and occupancy (if found)</t>
  </si>
  <si>
    <t>Vehicle Kilometer and Occupancy of the region - if the data is found</t>
  </si>
  <si>
    <t>✏️ HOW TO ADD A NEW LAB / LOCATION</t>
  </si>
  <si>
    <t>1.</t>
  </si>
  <si>
    <t>Go to CONFIG and add a new row with your lab's info.</t>
  </si>
  <si>
    <t>2.</t>
  </si>
  <si>
    <t>Go to modal_split and add rows: one per mode for your lab_id.</t>
  </si>
  <si>
    <t>3.</t>
  </si>
  <si>
    <t>Go to fleet and add rows: one per mode+technology for your lab_id.</t>
  </si>
  <si>
    <t>4.</t>
  </si>
  <si>
    <t>Go to macro and add one row with your lab's macro data.</t>
  </si>
  <si>
    <t>5.</t>
  </si>
  <si>
    <t>Every lab_id must be EXACTLY the same across all sheets (case-sensitive).</t>
  </si>
  <si>
    <t>⚠️  RULES</t>
  </si>
  <si>
    <t>R1</t>
  </si>
  <si>
    <t>Do NOT add columns — use the provided structure only.</t>
  </si>
  <si>
    <t>R2</t>
  </si>
  <si>
    <t>Do NOT change sheet names — Python scripts depend on them.</t>
  </si>
  <si>
    <t>R3</t>
  </si>
  <si>
    <t>All percentages as decimals: 46.7% → 0.467</t>
  </si>
  <si>
    <t>R4</t>
  </si>
  <si>
    <t>Empty cells = data not available (leave blank, don't write 'N/A').</t>
  </si>
  <si>
    <t>R5</t>
  </si>
  <si>
    <t>lab_id must be a short uppercase code, e.g. GIP, GDL, CAM, BIO, AND.</t>
  </si>
  <si>
    <t>🐍 PYTHON — HOW TO READ THIS FILE</t>
  </si>
  <si>
    <t>import pandas as pd</t>
  </si>
  <si>
    <t>modal   = pd.read_excel('Toolkit_Mobility_Pathways.xlsx', sheet_name='modal_split')</t>
  </si>
  <si>
    <t>fleet   = pd.read_excel('Toolkit_Mobility_Pathways.xlsx', sheet_name='fleet')</t>
  </si>
  <si>
    <t>macro   = pd.read_excel('Toolkit_Mobility_Pathways.xlsx', sheet_name='macro')</t>
  </si>
  <si>
    <t>config  = pd.read_excel('Toolkit_Mobility_Pathways.xlsx', sheet_name='CONFIG')</t>
  </si>
  <si>
    <t># Filter by lab</t>
  </si>
  <si>
    <t>gipuzkoa_fleet = fleet[fleet['lab_id'] == 'GIP']</t>
  </si>
  <si>
    <t># Merge sheets</t>
  </si>
  <si>
    <t>df = modal.merge(macro, on='lab_id')</t>
  </si>
  <si>
    <t>modes</t>
  </si>
  <si>
    <t>technologies</t>
  </si>
  <si>
    <t>countries</t>
  </si>
  <si>
    <t>data_quality</t>
  </si>
  <si>
    <t>Walking</t>
  </si>
  <si>
    <t>Walk</t>
  </si>
  <si>
    <t>Spain</t>
  </si>
  <si>
    <t>Official statistics</t>
  </si>
  <si>
    <t>Auto</t>
  </si>
  <si>
    <t>Bike_Standalone</t>
  </si>
  <si>
    <t>France</t>
  </si>
  <si>
    <t>Estimated</t>
  </si>
  <si>
    <t>Car</t>
  </si>
  <si>
    <t>eBike</t>
  </si>
  <si>
    <t>Germany</t>
  </si>
  <si>
    <t>Literature</t>
  </si>
  <si>
    <t>Bus</t>
  </si>
  <si>
    <t>BikeSharing_Standalone</t>
  </si>
  <si>
    <t>Italy</t>
  </si>
  <si>
    <t>Survey</t>
  </si>
  <si>
    <t>Train</t>
  </si>
  <si>
    <t>eBikeSharing</t>
  </si>
  <si>
    <t>Portugal</t>
  </si>
  <si>
    <t>Model output</t>
  </si>
  <si>
    <t>Bike</t>
  </si>
  <si>
    <t>Moped_ICE</t>
  </si>
  <si>
    <t>Netherlands</t>
  </si>
  <si>
    <t>Moped</t>
  </si>
  <si>
    <t>Moped_BEV</t>
  </si>
  <si>
    <t>Belgium</t>
  </si>
  <si>
    <t>Taxi</t>
  </si>
  <si>
    <t>Car_ICE_Gasoline</t>
  </si>
  <si>
    <t>UK</t>
  </si>
  <si>
    <t>Other</t>
  </si>
  <si>
    <t>Car_ICE_Diesel</t>
  </si>
  <si>
    <t>Poland</t>
  </si>
  <si>
    <t>Car_PHEV</t>
  </si>
  <si>
    <t>Car_BEV</t>
  </si>
  <si>
    <t>Taxi_ICE</t>
  </si>
  <si>
    <t>Taxi_PHEV</t>
  </si>
  <si>
    <t>Taxi_BEV</t>
  </si>
  <si>
    <t>Bus_ICE</t>
  </si>
  <si>
    <t>Bus_PHEV</t>
  </si>
  <si>
    <t>Bus_BEV</t>
  </si>
  <si>
    <t>Rail_EV</t>
  </si>
  <si>
    <t>⚙️  LAB / LOCATION CONFIGURATION</t>
  </si>
  <si>
    <t>Short unique ID
(e.g. GIP)</t>
  </si>
  <si>
    <t>Lab</t>
  </si>
  <si>
    <t>Region / Province</t>
  </si>
  <si>
    <t>Contact e-mail of the person that is involved in this project</t>
  </si>
  <si>
    <t>Data reference year
(YYYY)</t>
  </si>
  <si>
    <t>Notes / Comments</t>
  </si>
  <si>
    <t>GIP</t>
  </si>
  <si>
    <t>CSL Gipuzkoa</t>
  </si>
  <si>
    <t>Gipuzkoa (Basque Country)</t>
  </si>
  <si>
    <r>
      <rPr>
        <rFont val="Calibri, sans-serif"/>
        <color rgb="FF1155CC"/>
        <sz val="11.0"/>
        <u/>
      </rPr>
      <t>jgutierrez@unav.es</t>
    </r>
  </si>
  <si>
    <t>Base case data</t>
  </si>
  <si>
    <t>BOS</t>
  </si>
  <si>
    <t>MIT City Science</t>
  </si>
  <si>
    <t>Boston (MA)</t>
  </si>
  <si>
    <t>naroa@mit.edu</t>
  </si>
  <si>
    <t>? review</t>
  </si>
  <si>
    <t>📊  MODAL SPLIT  — one row per mode per lab</t>
  </si>
  <si>
    <t>Lab ID
→ must match CONFIG</t>
  </si>
  <si>
    <t>Year</t>
  </si>
  <si>
    <t>Transport Mode</t>
  </si>
  <si>
    <t>Modal Share - % of total Mode Trips
(0.0 – 1.0)</t>
  </si>
  <si>
    <t>Total Trips
(optional)</t>
  </si>
  <si>
    <t>Data Quality</t>
  </si>
  <si>
    <t>Source / Reference</t>
  </si>
  <si>
    <t>Notes</t>
  </si>
  <si>
    <t>Gipuzkoa Mobility Plan 2024</t>
  </si>
  <si>
    <t>If Other, specify here the transport Mode</t>
  </si>
  <si>
    <t>estimate</t>
  </si>
  <si>
    <t>MPO Boston</t>
  </si>
  <si>
    <t>MPO + MBTA</t>
  </si>
  <si>
    <t>💡  TIP: Each row = one mode for one lab. Sum of percent per lab_id+year should equal 1.0</t>
  </si>
  <si>
    <t>🚗  FLEET  — one row per mode + technology per lab</t>
  </si>
  <si>
    <t>Lab ID</t>
  </si>
  <si>
    <t>Technology / Fuel</t>
  </si>
  <si>
    <t>Fleet Count
(vehicles / units)</t>
  </si>
  <si>
    <t>Unit</t>
  </si>
  <si>
    <t>Notes and Source Links</t>
  </si>
  <si>
    <t>vehicles</t>
  </si>
  <si>
    <t>Literature ratio</t>
  </si>
  <si>
    <t>Approx.</t>
  </si>
  <si>
    <t>Approx. Extrapolation between national eBike sells and Gip. Pop.</t>
  </si>
  <si>
    <t>BikeSharing</t>
  </si>
  <si>
    <t>Operator data</t>
  </si>
  <si>
    <t>DGT 2024</t>
  </si>
  <si>
    <t>Municipality</t>
  </si>
  <si>
    <t>Posible incorrection with the data</t>
  </si>
  <si>
    <t>Posible incorrection with the data from the source</t>
  </si>
  <si>
    <t>Dbus / operator</t>
  </si>
  <si>
    <t>Renfe / EuskoTren</t>
  </si>
  <si>
    <t>Bluebikes</t>
  </si>
  <si>
    <t>Bluebikes, estimated</t>
  </si>
  <si>
    <t>MassGov, Massachusetts Vehicle Census</t>
  </si>
  <si>
    <t>https://geodot.mass.gov/datasets/0e7873d506d547d88b555545e3627ca8/about</t>
  </si>
  <si>
    <t>pct</t>
  </si>
  <si>
    <t>MBTA Announcement</t>
  </si>
  <si>
    <t>ratio</t>
  </si>
  <si>
    <t>Using same ratios as cars</t>
  </si>
  <si>
    <t>📈  MACRO INDICATORS  — one row per lab</t>
  </si>
  <si>
    <t>Population</t>
  </si>
  <si>
    <t>GDP per Capita
(Local Currency)</t>
  </si>
  <si>
    <t>Mobility Demand
Growth (0.0–1.0)(*)</t>
  </si>
  <si>
    <t>Percentage of Emissions that the Transport Represents Across all sectors</t>
  </si>
  <si>
    <t xml:space="preserve">Percentage of Emissions that the Passenger Transport Represents across Transport sector </t>
  </si>
  <si>
    <t>Total Daily Trips
(optional)</t>
  </si>
  <si>
    <t>Eustat / INE 2024</t>
  </si>
  <si>
    <t>GDP year 2024; https://www.eustat.eus/elementos/tbl0014375_i.html</t>
  </si>
  <si>
    <t>US Census Bureau 2024</t>
  </si>
  <si>
    <r>
      <rPr>
        <rFont val="Arial"/>
        <color rgb="FF000000"/>
        <sz val="10.0"/>
      </rPr>
      <t xml:space="preserve">Area is 2020, gdp from BEA, FHWA grwth Baseline for 20 year prediction counrtywide, </t>
    </r>
    <r>
      <rPr>
        <rFont val="Arial"/>
        <color rgb="FF1155CC"/>
        <sz val="10.0"/>
        <u/>
      </rPr>
      <t>https://www.fhwa.dot.gov/policyinformation/tables/vmt/vmt_forecast_sum.cfm</t>
    </r>
  </si>
  <si>
    <t>Worldwide Pop</t>
  </si>
  <si>
    <t>UN</t>
  </si>
  <si>
    <r>
      <rPr>
        <rFont val="Arial"/>
        <color rgb="FF000000"/>
        <sz val="10.0"/>
      </rPr>
      <t xml:space="preserve">United Nations (2024). World Population Prospects 2024: Summary of Results. UN DESA/POP/2024/TR/NO. 9. New
York: United Nations. </t>
    </r>
    <r>
      <rPr>
        <rFont val="Arial"/>
        <color rgb="FF1155CC"/>
        <sz val="10.0"/>
        <u/>
      </rPr>
      <t>https://population.un.org/wpp/assets/Files/WPP2024_Summary-of-Results.pdf</t>
    </r>
  </si>
  <si>
    <t>(*) Sometimes Mobility Demand Growth has to be calculated, when calculated COVID years (2020 - 2021) must not be taken into account</t>
  </si>
  <si>
    <t>🚗  Vehicle Kilometers Traveled  &amp; Occupancy (if found)</t>
  </si>
  <si>
    <t>VKT</t>
  </si>
  <si>
    <t>Occupancy</t>
  </si>
  <si>
    <t>94599991.0</t>
  </si>
  <si>
    <t>Example Units</t>
  </si>
  <si>
    <t>189199982.0</t>
  </si>
  <si>
    <t>2777480691.0</t>
  </si>
  <si>
    <t>33759345.0</t>
  </si>
  <si>
    <t>2614091.0</t>
  </si>
  <si>
    <r>
      <rPr>
        <rFont val="Arial"/>
        <color rgb="FF000000"/>
        <sz val="10.0"/>
      </rPr>
      <t xml:space="preserve">Us Wide, </t>
    </r>
    <r>
      <rPr>
        <rFont val="Arial"/>
        <color rgb="FF1155CC"/>
        <sz val="10.0"/>
        <u/>
      </rPr>
      <t>https://www.fhwa.dot.gov/tpm/guidance/avo_factors.pdf?utm_source=chatgpt.com</t>
    </r>
  </si>
  <si>
    <r>
      <rPr>
        <rFont val="Arial"/>
        <color rgb="FF000000"/>
        <sz val="10.0"/>
      </rPr>
      <t xml:space="preserve">Boston, </t>
    </r>
    <r>
      <rPr>
        <rFont val="Arial"/>
        <color rgb="FF1155CC"/>
        <sz val="10.0"/>
        <u/>
      </rPr>
      <t>https://www.fhwa.dot.gov/tpm/guidance/avo_factors.pdf?utm_source=chatgpt.com</t>
    </r>
  </si>
  <si>
    <t>vkts are all estimated</t>
  </si>
  <si>
    <t xml:space="preserve">Possible incoherence with taxi technology data found; Age of fleet was not given with exact values (e.g. btw 1-10 y; 11-14; &gt;15y)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</si>
</sst>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"/>
    <numFmt numFmtId="166" formatCode="d.m"/>
  </numFmts>
  <fonts count="16">
    <font>
      <sz val="11.0"/>
      <color theme="1"/>
      <name val="Calibri"/>
      <scheme val="minor"/>
    </font>
    <font>
      <b/>
      <sz val="16.0"/>
      <color rgb="FF1F3864"/>
      <name val="Arial"/>
    </font>
    <font>
      <sz val="11.0"/>
      <color rgb="FF595959"/>
      <name val="Arial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sz val="9.0"/>
      <color rgb="FF1F3864"/>
      <name val="Courier New"/>
    </font>
    <font>
      <b/>
      <sz val="12.0"/>
      <color rgb="FFFFFFFF"/>
      <name val="Arial"/>
    </font>
    <font>
      <color rgb="FF000000"/>
      <name val="Arial"/>
    </font>
    <font>
      <u/>
      <sz val="11.0"/>
      <color rgb="FF0000FF"/>
      <name val="Calibri"/>
    </font>
    <font>
      <i/>
      <sz val="9.0"/>
      <color rgb="FF595959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9DC3E6"/>
      </left>
      <top style="thin">
        <color rgb="FF9DC3E6"/>
      </top>
      <bottom style="thin">
        <color rgb="FF9DC3E6"/>
      </bottom>
    </border>
    <border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BDD7EE"/>
      </left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/>
      <right/>
      <top/>
      <bottom/>
    </border>
    <border>
      <top style="thin">
        <color rgb="FF9DC3E6"/>
      </top>
      <bottom style="thin">
        <color rgb="FF9DC3E6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3" fontId="5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vertical="center"/>
    </xf>
    <xf borderId="3" fillId="5" fontId="7" numFmtId="0" xfId="0" applyAlignment="1" applyBorder="1" applyFill="1" applyFont="1">
      <alignment horizontal="left" readingOrder="0" shrinkToFit="0" vertical="center" wrapText="1"/>
    </xf>
    <xf borderId="3" fillId="4" fontId="6" numFmtId="0" xfId="0" applyAlignment="1" applyBorder="1" applyFont="1">
      <alignment horizontal="left" readingOrder="0" vertical="center"/>
    </xf>
    <xf borderId="3" fillId="5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left" vertical="center"/>
    </xf>
    <xf borderId="5" fillId="0" fontId="4" numFmtId="0" xfId="0" applyBorder="1" applyFont="1"/>
    <xf borderId="6" fillId="2" fontId="5" numFmtId="0" xfId="0" applyBorder="1" applyFont="1"/>
    <xf borderId="0" fillId="0" fontId="7" numFmtId="0" xfId="0" applyFont="1"/>
    <xf borderId="1" fillId="2" fontId="9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3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3" fillId="6" fontId="7" numFmtId="0" xfId="0" applyAlignment="1" applyBorder="1" applyFont="1">
      <alignment horizontal="left" vertical="center"/>
    </xf>
    <xf borderId="3" fillId="6" fontId="10" numFmtId="0" xfId="0" applyAlignment="1" applyBorder="1" applyFont="1">
      <alignment horizontal="left" readingOrder="0" shrinkToFit="0" wrapText="0"/>
    </xf>
    <xf borderId="3" fillId="0" fontId="11" numFmtId="0" xfId="0" applyAlignment="1" applyBorder="1" applyFont="1">
      <alignment horizontal="left" readingOrder="0" shrinkToFit="0" wrapText="0"/>
    </xf>
    <xf borderId="3" fillId="5" fontId="7" numFmtId="0" xfId="0" applyAlignment="1" applyBorder="1" applyFont="1">
      <alignment horizontal="left" readingOrder="0" vertical="center"/>
    </xf>
    <xf borderId="3" fillId="5" fontId="7" numFmtId="0" xfId="0" applyAlignment="1" applyBorder="1" applyFont="1">
      <alignment horizontal="left" vertical="center"/>
    </xf>
    <xf borderId="3" fillId="6" fontId="7" numFmtId="164" xfId="0" applyAlignment="1" applyBorder="1" applyFont="1" applyNumberFormat="1">
      <alignment horizontal="left" vertical="center"/>
    </xf>
    <xf borderId="3" fillId="5" fontId="7" numFmtId="164" xfId="0" applyAlignment="1" applyBorder="1" applyFont="1" applyNumberFormat="1">
      <alignment horizontal="left" vertical="center"/>
    </xf>
    <xf borderId="3" fillId="6" fontId="7" numFmtId="0" xfId="0" applyAlignment="1" applyBorder="1" applyFont="1">
      <alignment horizontal="left" readingOrder="0" vertical="center"/>
    </xf>
    <xf borderId="3" fillId="5" fontId="7" numFmtId="164" xfId="0" applyAlignment="1" applyBorder="1" applyFont="1" applyNumberFormat="1">
      <alignment horizontal="left" readingOrder="0" vertical="center"/>
    </xf>
    <xf borderId="0" fillId="0" fontId="12" numFmtId="0" xfId="0" applyFont="1"/>
    <xf borderId="3" fillId="6" fontId="7" numFmtId="3" xfId="0" applyAlignment="1" applyBorder="1" applyFont="1" applyNumberFormat="1">
      <alignment horizontal="left" vertical="center"/>
    </xf>
    <xf borderId="3" fillId="6" fontId="7" numFmtId="3" xfId="0" applyAlignment="1" applyBorder="1" applyFont="1" applyNumberFormat="1">
      <alignment horizontal="left" readingOrder="0" vertical="center"/>
    </xf>
    <xf borderId="3" fillId="5" fontId="7" numFmtId="3" xfId="0" applyAlignment="1" applyBorder="1" applyFont="1" applyNumberFormat="1">
      <alignment horizontal="left" vertical="center"/>
    </xf>
    <xf borderId="3" fillId="5" fontId="7" numFmtId="4" xfId="0" applyAlignment="1" applyBorder="1" applyFont="1" applyNumberFormat="1">
      <alignment horizontal="left" vertical="center"/>
    </xf>
    <xf borderId="3" fillId="5" fontId="13" numFmtId="0" xfId="0" applyAlignment="1" applyBorder="1" applyFont="1">
      <alignment horizontal="left" readingOrder="0" vertical="center"/>
    </xf>
    <xf borderId="3" fillId="5" fontId="7" numFmtId="165" xfId="0" applyAlignment="1" applyBorder="1" applyFont="1" applyNumberFormat="1">
      <alignment horizontal="left" readingOrder="0" vertical="center"/>
    </xf>
    <xf borderId="3" fillId="5" fontId="7" numFmtId="3" xfId="0" applyAlignment="1" applyBorder="1" applyFont="1" applyNumberFormat="1">
      <alignment horizontal="left" readingOrder="0" vertical="center"/>
    </xf>
    <xf borderId="3" fillId="6" fontId="7" numFmtId="10" xfId="0" applyAlignment="1" applyBorder="1" applyFont="1" applyNumberFormat="1">
      <alignment horizontal="left" readingOrder="0" vertical="center"/>
    </xf>
    <xf borderId="3" fillId="5" fontId="7" numFmtId="10" xfId="0" applyAlignment="1" applyBorder="1" applyFont="1" applyNumberFormat="1">
      <alignment horizontal="left" readingOrder="0" vertical="center"/>
    </xf>
    <xf borderId="3" fillId="5" fontId="7" numFmtId="10" xfId="0" applyAlignment="1" applyBorder="1" applyFont="1" applyNumberFormat="1">
      <alignment horizontal="left" vertical="center"/>
    </xf>
    <xf borderId="3" fillId="5" fontId="14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/>
    </xf>
    <xf borderId="1" fillId="2" fontId="9" numFmtId="0" xfId="0" applyAlignment="1" applyBorder="1" applyFont="1">
      <alignment horizontal="center" readingOrder="0" shrinkToFit="0" vertical="center" wrapText="1"/>
    </xf>
    <xf borderId="3" fillId="7" fontId="5" numFmtId="0" xfId="0" applyAlignment="1" applyBorder="1" applyFill="1" applyFont="1">
      <alignment horizontal="center" shrinkToFit="0" vertical="center" wrapText="1"/>
    </xf>
    <xf borderId="3" fillId="7" fontId="5" numFmtId="0" xfId="0" applyAlignment="1" applyBorder="1" applyFont="1">
      <alignment horizontal="center" readingOrder="0" shrinkToFit="0" vertical="center" wrapText="1"/>
    </xf>
    <xf borderId="3" fillId="6" fontId="7" numFmtId="166" xfId="0" applyAlignment="1" applyBorder="1" applyFont="1" applyNumberFormat="1">
      <alignment horizontal="left" readingOrder="0" vertical="center"/>
    </xf>
    <xf borderId="0" fillId="0" fontId="15" numFmtId="3" xfId="0" applyAlignment="1" applyFont="1" applyNumberForma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</dxfs>
  <tableStyles count="6">
    <tableStyle count="3" pivot="0" name="CONFIG-style">
      <tableStyleElement dxfId="1" type="headerRow"/>
      <tableStyleElement dxfId="2" type="firstRowStripe"/>
      <tableStyleElement dxfId="3" type="secondRowStripe"/>
    </tableStyle>
    <tableStyle count="3" pivot="0" name="modal_split-style">
      <tableStyleElement dxfId="4" type="headerRow"/>
      <tableStyleElement dxfId="5" type="firstRowStripe"/>
      <tableStyleElement dxfId="3" type="secondRowStripe"/>
    </tableStyle>
    <tableStyle count="3" pivot="0" name="fleet-style">
      <tableStyleElement dxfId="6" type="headerRow"/>
      <tableStyleElement dxfId="7" type="firstRowStripe"/>
      <tableStyleElement dxfId="3" type="secondRowStripe"/>
    </tableStyle>
    <tableStyle count="3" pivot="0" name="macro-style">
      <tableStyleElement dxfId="8" type="headerRow"/>
      <tableStyleElement dxfId="9" type="firstRowStripe"/>
      <tableStyleElement dxfId="3" type="secondRowStripe"/>
    </tableStyle>
    <tableStyle count="3" pivot="0" name="VKT and occupancy (if found)-style">
      <tableStyleElement dxfId="6" type="headerRow"/>
      <tableStyleElement dxfId="7" type="firstRowStripe"/>
      <tableStyleElement dxfId="3" type="secondRowStripe"/>
    </tableStyle>
    <tableStyle count="3" pivot="0" name="Notes-style">
      <tableStyleElement dxfId="8" type="headerRow"/>
      <tableStyleElement dxfId="9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an Pau Gutiérrez Pascual" id="{f77dba17-b5e7-402f-97a3-875bfe00f3aa}" providerId="google-sheets"/>
  <x18tc:person displayName="Anónimo" id="{9dd3c36e-128d-464e-9688-ed3c0ba98797}" providerId="google-sheets"/>
  <x18tc:person displayName="Naroa Coretti" id="{fb5e4400-7154-4fc2-b7cb-364b00822a87}" providerId="google-sheets"/>
</x18tc:personList>
</file>

<file path=xl/tables/table1.xml><?xml version="1.0" encoding="utf-8"?>
<table xmlns="http://schemas.openxmlformats.org/spreadsheetml/2006/main" ref="A2:F11" displayName="Table_1" name="Table_1" id="1">
  <tableColumns count="6">
    <tableColumn name="Short unique ID_x000a_(e.g. GIP)" id="1"/>
    <tableColumn name="Lab" id="2"/>
    <tableColumn name="Region / Province" id="3"/>
    <tableColumn name="Contact e-mail of the person that is involved in this project" id="4"/>
    <tableColumn name="Data reference year_x000a_(YYYY)" id="5"/>
    <tableColumn name="Notes / Comments" id="6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ref="A2:H29" displayName="Table_2" name="Table_2" id="2">
  <tableColumns count="8">
    <tableColumn name="Lab ID_x000a_→ must match CONFIG" id="1"/>
    <tableColumn name="Year" id="2"/>
    <tableColumn name="Transport Mode" id="3"/>
    <tableColumn name="Modal Share - % of total Mode Trips_x000a_(0.0 – 1.0)" id="4"/>
    <tableColumn name="Total Trips_x000a_(optional)" id="5"/>
    <tableColumn name="Data Quality" id="6"/>
    <tableColumn name="Source / Reference" id="7"/>
    <tableColumn name="Notes" id="8"/>
  </tableColumns>
  <tableStyleInfo name="modal_split-style" showColumnStripes="0" showFirstColumn="1" showLastColumn="1" showRowStripes="1"/>
</table>
</file>

<file path=xl/tables/table3.xml><?xml version="1.0" encoding="utf-8"?>
<table xmlns="http://schemas.openxmlformats.org/spreadsheetml/2006/main" ref="A2:I58" displayName="Table_3" name="Table_3" id="3">
  <tableColumns count="9">
    <tableColumn name="Lab ID" id="1"/>
    <tableColumn name="Year" id="2"/>
    <tableColumn name="Transport Mode" id="3"/>
    <tableColumn name="Technology / Fuel" id="4"/>
    <tableColumn name="Fleet Count_x000a_(vehicles / units)" id="5"/>
    <tableColumn name="Unit" id="6"/>
    <tableColumn name="Data Quality" id="7"/>
    <tableColumn name="Source / Reference" id="8"/>
    <tableColumn name="Notes and Source Links" id="9"/>
  </tableColumns>
  <tableStyleInfo name="fleet-style" showColumnStripes="0" showFirstColumn="1" showLastColumn="1" showRowStripes="1"/>
</table>
</file>

<file path=xl/tables/table4.xml><?xml version="1.0" encoding="utf-8"?>
<table xmlns="http://schemas.openxmlformats.org/spreadsheetml/2006/main" ref="A2:K19" displayName="Table_4" name="Table_4" id="4">
  <tableColumns count="11">
    <tableColumn name="Lab ID" id="1"/>
    <tableColumn name="Year" id="2"/>
    <tableColumn name="Population" id="3"/>
    <tableColumn name="GDP per Capita_x000a_(Local Currency)" id="4"/>
    <tableColumn name="Mobility Demand_x000a_Growth (0.0–1.0)(*)" id="5"/>
    <tableColumn name="Percentage of Emissions that the Transport Represents Across all sectors" id="6"/>
    <tableColumn name="Percentage of Emissions that the Passenger Transport Represents across Transport sector " id="7"/>
    <tableColumn name="Total Daily Trips_x000a_(optional)" id="8"/>
    <tableColumn name="Data Quality" id="9"/>
    <tableColumn name="Source / Reference" id="10"/>
    <tableColumn name="Notes" id="11"/>
  </tableColumns>
  <tableStyleInfo name="macro-style" showColumnStripes="0" showFirstColumn="1" showLastColumn="1" showRowStripes="1"/>
</table>
</file>

<file path=xl/tables/table5.xml><?xml version="1.0" encoding="utf-8"?>
<table xmlns="http://schemas.openxmlformats.org/spreadsheetml/2006/main" ref="A2:H46" displayName="Table_5" name="Table_5" id="5">
  <tableColumns count="8">
    <tableColumn name="Lab ID" id="1"/>
    <tableColumn name="Year" id="2"/>
    <tableColumn name="Transport Mode" id="3"/>
    <tableColumn name="VKT" id="4"/>
    <tableColumn name="Occupancy" id="5"/>
    <tableColumn name="Data Quality" id="6"/>
    <tableColumn name="Source / Reference" id="7"/>
    <tableColumn name="Notes and Source Links" id="8"/>
  </tableColumns>
  <tableStyleInfo name="VKT and occupancy (if found)-style" showColumnStripes="0" showFirstColumn="1" showLastColumn="1" showRowStripes="1"/>
</table>
</file>

<file path=xl/tables/table6.xml><?xml version="1.0" encoding="utf-8"?>
<table xmlns="http://schemas.openxmlformats.org/spreadsheetml/2006/main" ref="A2:C19" displayName="Table_6" name="Table_6" id="6">
  <tableColumns count="3">
    <tableColumn name="Lab ID" id="1"/>
    <tableColumn name="Year" id="2"/>
    <tableColumn name="Notes" id="3"/>
  </tableColumns>
  <tableStyleInfo name="No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5-20T19:43:51.00" personId="{fb5e4400-7154-4fc2-b7cb-364b00822a87}" id="{818ffe5e-861f-49b5-9dd8-f8e137e13dcb}" done="0">
    <x18tc:text xml:space="preserve">By distance, or by pct of trips?</x18tc:text>
  </x18tc:threadedComment>
  <x18tc:threadedComment ref="D2" dT="2026-05-21T07:53:24.00" personId="{9dd3c36e-128d-464e-9688-ed3c0ba98797}" id="{7458c326-56ff-49ba-9898-2742a9c3b57f}" parentId="{818ffe5e-861f-49b5-9dd8-f8e137e13dcb}">
    <x18tc:text xml:space="preserve">By % of trips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5-21T14:34:59.00" personId="{fb5e4400-7154-4fc2-b7cb-364b00822a87}" id="{abea581c-c1c9-41db-9ab7-c714e58cb62e}" done="0">
    <x18tc:text xml:space="preserve">Can we use percentages? total counts are hard and you dont need them, right?</x18tc:text>
  </x18tc:threadedComment>
  <x18tc:threadedComment ref="E2" dT="2026-05-21T14:41:46.00" personId="{f77dba17-b5e7-402f-97a3-875bfe00f3aa}" id="{315c1b57-d4ee-4d55-ae3e-76dfd8857bdd}" parentId="{abea581c-c1c9-41db-9ab7-c714e58cb62e}">
    <x18tc:text xml:space="preserve">I would create another column (i.e. Fleet % total - but you have to put the total number) just in case you find it in the other way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5-20T19:29:38.00" personId="{fb5e4400-7154-4fc2-b7cb-364b00822a87}" id="{624022f1-6271-48ad-a3ac-8bba9cc799d2}" done="0">
    <x18tc:text xml:space="preserve">Local currency? Otherwise it changes day by day</x18tc:text>
  </x18tc:threadedComment>
  <x18tc:threadedComment ref="D2" dT="2026-05-21T07:57:39.00" personId="{f77dba17-b5e7-402f-97a3-875bfe00f3aa}" id="{5ef7aec3-7f38-42c8-9783-9029e10d7328}" parentId="{624022f1-6271-48ad-a3ac-8bba9cc799d2}">
    <x18tc:text xml:space="preserve">Yes, I though it yesterday. Let's put local currency otherwise it will add complexity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jgutierrez@unav.es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geodot.mass.gov/datasets/0e7873d506d547d88b555545e3627ca8/about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2.v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www.fhwa.dot.gov/policyinformation/tables/vmt/vmt_forecast_sum.cfm" TargetMode="External"/><Relationship Id="rId9" Type="http://schemas.openxmlformats.org/officeDocument/2006/relationships/table" Target="../tables/table4.xml"/><Relationship Id="rId5" Type="http://schemas.openxmlformats.org/officeDocument/2006/relationships/hyperlink" Target="https://population.un.org/wpp/assets/Files/WPP2024_Summary-of-Results.pdf" TargetMode="External"/><Relationship Id="rId6" Type="http://schemas.openxmlformats.org/officeDocument/2006/relationships/drawing" Target="../drawings/drawing6.xml"/><Relationship Id="rId7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hwa.dot.gov/tpm/guidance/avo_factors.pdf?utm_source=chatgpt.com" TargetMode="External"/><Relationship Id="rId2" Type="http://schemas.openxmlformats.org/officeDocument/2006/relationships/hyperlink" Target="https://www.fhwa.dot.gov/tpm/guidance/avo_factors.pdf?utm_source=chatgpt.com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70.0"/>
    <col customWidth="1" min="4" max="26" width="8.71"/>
  </cols>
  <sheetData>
    <row r="1" ht="9.75" customHeight="1"/>
    <row r="2" ht="30.0" customHeight="1">
      <c r="B2" s="1" t="s">
        <v>0</v>
      </c>
    </row>
    <row r="3">
      <c r="B3" s="2" t="s">
        <v>1</v>
      </c>
    </row>
    <row r="5" ht="18.0" customHeight="1">
      <c r="B5" s="3" t="s">
        <v>2</v>
      </c>
      <c r="C5" s="4"/>
    </row>
    <row r="6" ht="18.0" customHeight="1">
      <c r="B6" s="5" t="s">
        <v>3</v>
      </c>
      <c r="C6" s="5" t="s">
        <v>4</v>
      </c>
    </row>
    <row r="7" ht="18.0" customHeight="1">
      <c r="B7" s="6" t="s">
        <v>5</v>
      </c>
      <c r="C7" s="7" t="s">
        <v>6</v>
      </c>
    </row>
    <row r="8" ht="18.0" customHeight="1">
      <c r="B8" s="8" t="s">
        <v>7</v>
      </c>
      <c r="C8" s="9" t="s">
        <v>8</v>
      </c>
    </row>
    <row r="9" ht="18.0" customHeight="1">
      <c r="B9" s="8" t="s">
        <v>9</v>
      </c>
      <c r="C9" s="9" t="s">
        <v>10</v>
      </c>
    </row>
    <row r="10" ht="18.0" customHeight="1">
      <c r="B10" s="8" t="s">
        <v>11</v>
      </c>
      <c r="C10" s="9" t="s">
        <v>12</v>
      </c>
    </row>
    <row r="11" ht="18.0" customHeight="1">
      <c r="B11" s="8" t="s">
        <v>13</v>
      </c>
      <c r="C11" s="9" t="s">
        <v>14</v>
      </c>
    </row>
    <row r="12" ht="18.0" customHeight="1">
      <c r="B12" s="8" t="s">
        <v>15</v>
      </c>
      <c r="C12" s="7" t="s">
        <v>16</v>
      </c>
    </row>
    <row r="13" ht="18.0" customHeight="1"/>
    <row r="14" ht="18.0" customHeight="1">
      <c r="B14" s="3" t="s">
        <v>17</v>
      </c>
      <c r="C14" s="4"/>
    </row>
    <row r="15" ht="18.0" customHeight="1">
      <c r="B15" s="6" t="s">
        <v>18</v>
      </c>
      <c r="C15" s="7" t="s">
        <v>19</v>
      </c>
    </row>
    <row r="16" ht="18.0" customHeight="1">
      <c r="B16" s="6" t="s">
        <v>20</v>
      </c>
      <c r="C16" s="7" t="s">
        <v>21</v>
      </c>
    </row>
    <row r="17" ht="18.0" customHeight="1">
      <c r="B17" s="6" t="s">
        <v>22</v>
      </c>
      <c r="C17" s="7" t="s">
        <v>23</v>
      </c>
    </row>
    <row r="18" ht="18.0" customHeight="1">
      <c r="B18" s="6" t="s">
        <v>24</v>
      </c>
      <c r="C18" s="7" t="s">
        <v>25</v>
      </c>
    </row>
    <row r="19" ht="18.0" customHeight="1">
      <c r="B19" s="6" t="s">
        <v>26</v>
      </c>
      <c r="C19" s="9" t="s">
        <v>27</v>
      </c>
    </row>
    <row r="20" ht="18.0" customHeight="1"/>
    <row r="21" ht="18.0" customHeight="1"/>
    <row r="22" ht="18.0" customHeight="1">
      <c r="B22" s="3" t="s">
        <v>28</v>
      </c>
      <c r="C22" s="4"/>
    </row>
    <row r="23" ht="18.0" customHeight="1">
      <c r="B23" s="6" t="s">
        <v>29</v>
      </c>
      <c r="C23" s="9" t="s">
        <v>30</v>
      </c>
    </row>
    <row r="24" ht="18.0" customHeight="1">
      <c r="B24" s="6" t="s">
        <v>31</v>
      </c>
      <c r="C24" s="9" t="s">
        <v>32</v>
      </c>
    </row>
    <row r="25" ht="18.0" customHeight="1">
      <c r="B25" s="6" t="s">
        <v>33</v>
      </c>
      <c r="C25" s="9" t="s">
        <v>34</v>
      </c>
    </row>
    <row r="26" ht="18.0" customHeight="1">
      <c r="B26" s="6" t="s">
        <v>35</v>
      </c>
      <c r="C26" s="9" t="s">
        <v>36</v>
      </c>
    </row>
    <row r="27" ht="18.0" customHeight="1">
      <c r="B27" s="6" t="s">
        <v>37</v>
      </c>
      <c r="C27" s="7" t="s">
        <v>38</v>
      </c>
    </row>
    <row r="28" ht="15.75" customHeight="1"/>
    <row r="29" ht="15.75" customHeight="1"/>
    <row r="30" ht="15.75" customHeight="1"/>
    <row r="31" ht="15.75" customHeight="1"/>
    <row r="32" ht="15.75" customHeight="1">
      <c r="B32" s="3" t="s">
        <v>39</v>
      </c>
      <c r="C32" s="4"/>
    </row>
    <row r="33" ht="15.75" customHeight="1">
      <c r="B33" s="10" t="s">
        <v>40</v>
      </c>
      <c r="C33" s="11"/>
    </row>
    <row r="34" ht="15.75" customHeight="1">
      <c r="B34" s="10"/>
      <c r="C34" s="11"/>
    </row>
    <row r="35" ht="15.75" customHeight="1">
      <c r="B35" s="10" t="s">
        <v>41</v>
      </c>
      <c r="C35" s="11"/>
    </row>
    <row r="36" ht="15.75" customHeight="1">
      <c r="B36" s="10" t="s">
        <v>42</v>
      </c>
      <c r="C36" s="11"/>
    </row>
    <row r="37" ht="15.75" customHeight="1">
      <c r="B37" s="10" t="s">
        <v>43</v>
      </c>
      <c r="C37" s="11"/>
    </row>
    <row r="38" ht="15.75" customHeight="1">
      <c r="B38" s="10" t="s">
        <v>44</v>
      </c>
      <c r="C38" s="11"/>
    </row>
    <row r="39" ht="15.75" customHeight="1">
      <c r="B39" s="10"/>
      <c r="C39" s="11"/>
    </row>
    <row r="40" ht="15.75" customHeight="1">
      <c r="B40" s="10" t="s">
        <v>45</v>
      </c>
      <c r="C40" s="11"/>
    </row>
    <row r="41" ht="15.75" customHeight="1">
      <c r="B41" s="10" t="s">
        <v>46</v>
      </c>
      <c r="C41" s="11"/>
    </row>
    <row r="42" ht="15.75" customHeight="1">
      <c r="B42" s="10"/>
      <c r="C42" s="11"/>
    </row>
    <row r="43" ht="15.75" customHeight="1">
      <c r="B43" s="10" t="s">
        <v>47</v>
      </c>
      <c r="C43" s="11"/>
    </row>
    <row r="44" ht="15.75" customHeight="1">
      <c r="B44" s="10" t="s">
        <v>48</v>
      </c>
      <c r="C44" s="1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8">
    <mergeCell ref="B2:C2"/>
    <mergeCell ref="B3:C3"/>
    <mergeCell ref="B5:C5"/>
    <mergeCell ref="B14:C14"/>
    <mergeCell ref="B22:C22"/>
    <mergeCell ref="B32:C32"/>
    <mergeCell ref="B33:C33"/>
    <mergeCell ref="B41:C41"/>
    <mergeCell ref="B42:C42"/>
    <mergeCell ref="B43:C43"/>
    <mergeCell ref="B44:C44"/>
    <mergeCell ref="B34:C34"/>
    <mergeCell ref="B35:C35"/>
    <mergeCell ref="B36:C36"/>
    <mergeCell ref="B37:C37"/>
    <mergeCell ref="B38:C38"/>
    <mergeCell ref="B39:C39"/>
    <mergeCell ref="B40:C4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24.0"/>
    <col customWidth="1" min="5" max="26" width="8.71"/>
  </cols>
  <sheetData>
    <row r="1">
      <c r="A1" s="12" t="s">
        <v>49</v>
      </c>
      <c r="B1" s="12" t="s">
        <v>50</v>
      </c>
      <c r="C1" s="12" t="s">
        <v>51</v>
      </c>
      <c r="D1" s="12" t="s">
        <v>52</v>
      </c>
    </row>
    <row r="2">
      <c r="A2" s="13" t="s">
        <v>53</v>
      </c>
      <c r="B2" s="13" t="s">
        <v>54</v>
      </c>
      <c r="C2" s="13" t="s">
        <v>55</v>
      </c>
      <c r="D2" s="13" t="s">
        <v>56</v>
      </c>
    </row>
    <row r="3">
      <c r="A3" s="13" t="s">
        <v>57</v>
      </c>
      <c r="B3" s="13" t="s">
        <v>58</v>
      </c>
      <c r="C3" s="13" t="s">
        <v>59</v>
      </c>
      <c r="D3" s="13" t="s">
        <v>60</v>
      </c>
    </row>
    <row r="4">
      <c r="A4" s="13" t="s">
        <v>61</v>
      </c>
      <c r="B4" s="13" t="s">
        <v>62</v>
      </c>
      <c r="C4" s="13" t="s">
        <v>63</v>
      </c>
      <c r="D4" s="13" t="s">
        <v>64</v>
      </c>
    </row>
    <row r="5">
      <c r="A5" s="13" t="s">
        <v>65</v>
      </c>
      <c r="B5" s="13" t="s">
        <v>66</v>
      </c>
      <c r="C5" s="13" t="s">
        <v>67</v>
      </c>
      <c r="D5" s="13" t="s">
        <v>68</v>
      </c>
    </row>
    <row r="6">
      <c r="A6" s="13" t="s">
        <v>69</v>
      </c>
      <c r="B6" s="13" t="s">
        <v>70</v>
      </c>
      <c r="C6" s="13" t="s">
        <v>71</v>
      </c>
      <c r="D6" s="13" t="s">
        <v>72</v>
      </c>
    </row>
    <row r="7">
      <c r="A7" s="13" t="s">
        <v>73</v>
      </c>
      <c r="B7" s="13" t="s">
        <v>74</v>
      </c>
      <c r="C7" s="13" t="s">
        <v>75</v>
      </c>
    </row>
    <row r="8">
      <c r="A8" s="13" t="s">
        <v>76</v>
      </c>
      <c r="B8" s="13" t="s">
        <v>77</v>
      </c>
      <c r="C8" s="13" t="s">
        <v>78</v>
      </c>
    </row>
    <row r="9">
      <c r="A9" s="13" t="s">
        <v>79</v>
      </c>
      <c r="B9" s="13" t="s">
        <v>80</v>
      </c>
      <c r="C9" s="13" t="s">
        <v>81</v>
      </c>
    </row>
    <row r="10">
      <c r="A10" s="13" t="s">
        <v>82</v>
      </c>
      <c r="B10" s="13" t="s">
        <v>83</v>
      </c>
      <c r="C10" s="13" t="s">
        <v>84</v>
      </c>
    </row>
    <row r="11">
      <c r="B11" s="13" t="s">
        <v>85</v>
      </c>
      <c r="C11" s="13" t="s">
        <v>82</v>
      </c>
    </row>
    <row r="12">
      <c r="B12" s="13" t="s">
        <v>86</v>
      </c>
    </row>
    <row r="13">
      <c r="B13" s="13" t="s">
        <v>87</v>
      </c>
    </row>
    <row r="14">
      <c r="B14" s="13" t="s">
        <v>88</v>
      </c>
    </row>
    <row r="15">
      <c r="B15" s="13" t="s">
        <v>89</v>
      </c>
    </row>
    <row r="16">
      <c r="B16" s="13" t="s">
        <v>90</v>
      </c>
    </row>
    <row r="17">
      <c r="B17" s="13" t="s">
        <v>91</v>
      </c>
    </row>
    <row r="18">
      <c r="B18" s="13" t="s">
        <v>92</v>
      </c>
    </row>
    <row r="19">
      <c r="B19" s="13" t="s">
        <v>93</v>
      </c>
    </row>
    <row r="20">
      <c r="B20" s="1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3" width="30.0"/>
    <col customWidth="1" min="4" max="4" width="42.57"/>
    <col customWidth="1" min="5" max="5" width="14.0"/>
    <col customWidth="1" min="6" max="6" width="65.0"/>
    <col customWidth="1" min="7" max="23" width="8.71"/>
  </cols>
  <sheetData>
    <row r="1" ht="30.0" customHeight="1">
      <c r="A1" s="14" t="s">
        <v>94</v>
      </c>
      <c r="B1" s="15"/>
      <c r="C1" s="15"/>
      <c r="D1" s="15"/>
      <c r="E1" s="15"/>
      <c r="F1" s="4"/>
    </row>
    <row r="2" ht="36.0" customHeight="1">
      <c r="A2" s="16" t="s">
        <v>95</v>
      </c>
      <c r="B2" s="17" t="s">
        <v>96</v>
      </c>
      <c r="C2" s="16" t="s">
        <v>97</v>
      </c>
      <c r="D2" s="17" t="s">
        <v>98</v>
      </c>
      <c r="E2" s="16" t="s">
        <v>99</v>
      </c>
      <c r="F2" s="16" t="s">
        <v>100</v>
      </c>
    </row>
    <row r="3">
      <c r="A3" s="18" t="s">
        <v>101</v>
      </c>
      <c r="B3" s="19" t="s">
        <v>102</v>
      </c>
      <c r="C3" s="19" t="s">
        <v>103</v>
      </c>
      <c r="D3" s="20" t="s">
        <v>104</v>
      </c>
      <c r="E3" s="18">
        <v>2025.0</v>
      </c>
      <c r="F3" s="18" t="s">
        <v>105</v>
      </c>
    </row>
    <row r="4" ht="18.0" customHeight="1">
      <c r="A4" s="21" t="s">
        <v>106</v>
      </c>
      <c r="B4" s="21" t="s">
        <v>107</v>
      </c>
      <c r="C4" s="21" t="s">
        <v>108</v>
      </c>
      <c r="D4" s="21" t="s">
        <v>109</v>
      </c>
      <c r="E4" s="21">
        <v>2025.0</v>
      </c>
      <c r="F4" s="21" t="s">
        <v>110</v>
      </c>
    </row>
    <row r="5" ht="18.0" customHeight="1">
      <c r="A5" s="22"/>
      <c r="B5" s="22"/>
      <c r="C5" s="22"/>
      <c r="D5" s="22"/>
      <c r="E5" s="22"/>
      <c r="F5" s="22"/>
    </row>
    <row r="6" ht="18.0" customHeight="1">
      <c r="A6" s="22"/>
      <c r="B6" s="22"/>
      <c r="C6" s="22"/>
      <c r="D6" s="22"/>
      <c r="E6" s="22"/>
      <c r="F6" s="22"/>
    </row>
    <row r="7" ht="18.0" customHeight="1">
      <c r="A7" s="22"/>
      <c r="B7" s="22"/>
      <c r="C7" s="22"/>
      <c r="D7" s="22"/>
      <c r="E7" s="22"/>
      <c r="F7" s="22"/>
    </row>
    <row r="8" ht="18.0" customHeight="1">
      <c r="A8" s="22"/>
      <c r="B8" s="22"/>
      <c r="C8" s="22"/>
      <c r="D8" s="22"/>
      <c r="E8" s="22"/>
      <c r="F8" s="22"/>
    </row>
    <row r="9" ht="18.0" customHeight="1">
      <c r="A9" s="22"/>
      <c r="B9" s="22"/>
      <c r="C9" s="22"/>
      <c r="D9" s="22"/>
      <c r="E9" s="22"/>
      <c r="F9" s="22"/>
    </row>
    <row r="10" ht="18.0" customHeight="1">
      <c r="A10" s="22"/>
      <c r="B10" s="22"/>
      <c r="C10" s="22"/>
      <c r="D10" s="22"/>
      <c r="E10" s="22"/>
      <c r="F10" s="22"/>
    </row>
    <row r="11" ht="18.0" customHeight="1">
      <c r="A11" s="22"/>
      <c r="B11" s="22"/>
      <c r="C11" s="22"/>
      <c r="D11" s="22"/>
      <c r="E11" s="22"/>
      <c r="F1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:id="rId1" ref="D3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18.0"/>
    <col customWidth="1" min="4" max="4" width="24.14"/>
    <col customWidth="1" min="5" max="5" width="16.0"/>
    <col customWidth="1" min="6" max="6" width="22.0"/>
    <col customWidth="1" min="7" max="7" width="40.0"/>
    <col customWidth="1" min="8" max="8" width="82.43"/>
    <col customWidth="1" min="9" max="26" width="8.71"/>
  </cols>
  <sheetData>
    <row r="1" ht="30.0" customHeight="1">
      <c r="A1" s="14" t="s">
        <v>111</v>
      </c>
      <c r="B1" s="15"/>
      <c r="C1" s="15"/>
      <c r="D1" s="15"/>
      <c r="E1" s="15"/>
      <c r="F1" s="15"/>
      <c r="G1" s="15"/>
      <c r="H1" s="4"/>
    </row>
    <row r="2" ht="36.0" customHeight="1">
      <c r="A2" s="16" t="s">
        <v>112</v>
      </c>
      <c r="B2" s="16" t="s">
        <v>113</v>
      </c>
      <c r="C2" s="16" t="s">
        <v>114</v>
      </c>
      <c r="D2" s="17" t="s">
        <v>115</v>
      </c>
      <c r="E2" s="16" t="s">
        <v>116</v>
      </c>
      <c r="F2" s="16" t="s">
        <v>117</v>
      </c>
      <c r="G2" s="16" t="s">
        <v>118</v>
      </c>
      <c r="H2" s="16" t="s">
        <v>119</v>
      </c>
    </row>
    <row r="3" ht="18.0" customHeight="1">
      <c r="A3" s="18" t="s">
        <v>101</v>
      </c>
      <c r="B3" s="18">
        <v>2025.0</v>
      </c>
      <c r="C3" s="18" t="s">
        <v>53</v>
      </c>
      <c r="D3" s="23">
        <v>0.4673</v>
      </c>
      <c r="E3" s="18"/>
      <c r="F3" s="18" t="s">
        <v>56</v>
      </c>
      <c r="G3" s="18" t="s">
        <v>120</v>
      </c>
      <c r="H3" s="18"/>
    </row>
    <row r="4" ht="18.0" customHeight="1">
      <c r="A4" s="18" t="s">
        <v>101</v>
      </c>
      <c r="B4" s="18">
        <v>2025.0</v>
      </c>
      <c r="C4" s="18" t="s">
        <v>57</v>
      </c>
      <c r="D4" s="23">
        <v>0.3696</v>
      </c>
      <c r="E4" s="18"/>
      <c r="F4" s="18" t="s">
        <v>56</v>
      </c>
      <c r="G4" s="18" t="s">
        <v>120</v>
      </c>
      <c r="H4" s="18"/>
    </row>
    <row r="5" ht="18.0" customHeight="1">
      <c r="A5" s="18" t="s">
        <v>101</v>
      </c>
      <c r="B5" s="18">
        <v>2025.0</v>
      </c>
      <c r="C5" s="18" t="s">
        <v>65</v>
      </c>
      <c r="D5" s="23">
        <v>0.0916</v>
      </c>
      <c r="E5" s="18"/>
      <c r="F5" s="18" t="s">
        <v>56</v>
      </c>
      <c r="G5" s="18" t="s">
        <v>120</v>
      </c>
      <c r="H5" s="18"/>
    </row>
    <row r="6" ht="18.0" customHeight="1">
      <c r="A6" s="18" t="s">
        <v>101</v>
      </c>
      <c r="B6" s="18">
        <v>2025.0</v>
      </c>
      <c r="C6" s="18" t="s">
        <v>76</v>
      </c>
      <c r="D6" s="23">
        <v>0.0252</v>
      </c>
      <c r="E6" s="18"/>
      <c r="F6" s="18" t="s">
        <v>56</v>
      </c>
      <c r="G6" s="18" t="s">
        <v>120</v>
      </c>
      <c r="H6" s="18"/>
    </row>
    <row r="7" ht="18.0" customHeight="1">
      <c r="A7" s="18" t="s">
        <v>101</v>
      </c>
      <c r="B7" s="18">
        <v>2025.0</v>
      </c>
      <c r="C7" s="18" t="s">
        <v>73</v>
      </c>
      <c r="D7" s="23">
        <v>0.0252</v>
      </c>
      <c r="E7" s="18"/>
      <c r="F7" s="18" t="s">
        <v>56</v>
      </c>
      <c r="G7" s="18" t="s">
        <v>120</v>
      </c>
      <c r="H7" s="18"/>
    </row>
    <row r="8" ht="18.0" customHeight="1">
      <c r="A8" s="18" t="s">
        <v>101</v>
      </c>
      <c r="B8" s="18">
        <v>2025.0</v>
      </c>
      <c r="C8" s="18" t="s">
        <v>69</v>
      </c>
      <c r="D8" s="23">
        <v>0.0211</v>
      </c>
      <c r="E8" s="18"/>
      <c r="F8" s="18" t="s">
        <v>56</v>
      </c>
      <c r="G8" s="18" t="s">
        <v>120</v>
      </c>
      <c r="H8" s="18"/>
    </row>
    <row r="9" ht="18.0" customHeight="1">
      <c r="A9" s="21" t="s">
        <v>101</v>
      </c>
      <c r="B9" s="18">
        <v>2025.0</v>
      </c>
      <c r="C9" s="21" t="s">
        <v>82</v>
      </c>
      <c r="D9" s="24"/>
      <c r="E9" s="22"/>
      <c r="F9" s="22"/>
      <c r="G9" s="22"/>
      <c r="H9" s="21" t="s">
        <v>121</v>
      </c>
    </row>
    <row r="10" ht="18.0" customHeight="1">
      <c r="A10" s="25" t="s">
        <v>106</v>
      </c>
      <c r="B10" s="18">
        <v>2025.0</v>
      </c>
      <c r="C10" s="18" t="s">
        <v>53</v>
      </c>
      <c r="D10" s="26">
        <v>0.11</v>
      </c>
      <c r="E10" s="22"/>
      <c r="F10" s="21"/>
      <c r="G10" s="21"/>
      <c r="H10" s="21" t="s">
        <v>122</v>
      </c>
    </row>
    <row r="11" ht="18.0" customHeight="1">
      <c r="A11" s="25" t="s">
        <v>106</v>
      </c>
      <c r="B11" s="18">
        <v>2025.0</v>
      </c>
      <c r="C11" s="18" t="s">
        <v>57</v>
      </c>
      <c r="D11" s="26">
        <v>0.8</v>
      </c>
      <c r="E11" s="22"/>
      <c r="F11" s="21"/>
      <c r="G11" s="21"/>
      <c r="H11" s="21" t="s">
        <v>123</v>
      </c>
    </row>
    <row r="12" ht="18.0" customHeight="1">
      <c r="A12" s="25" t="s">
        <v>106</v>
      </c>
      <c r="B12" s="18">
        <v>2025.0</v>
      </c>
      <c r="C12" s="18" t="s">
        <v>65</v>
      </c>
      <c r="D12" s="26">
        <v>0.02</v>
      </c>
      <c r="E12" s="22"/>
      <c r="F12" s="21"/>
      <c r="G12" s="21"/>
      <c r="H12" s="21" t="s">
        <v>124</v>
      </c>
    </row>
    <row r="13" ht="18.0" customHeight="1">
      <c r="A13" s="25" t="s">
        <v>106</v>
      </c>
      <c r="B13" s="18">
        <v>2025.0</v>
      </c>
      <c r="C13" s="18" t="s">
        <v>76</v>
      </c>
      <c r="D13" s="24"/>
      <c r="E13" s="22"/>
      <c r="F13" s="21"/>
      <c r="G13" s="21"/>
      <c r="H13" s="22"/>
    </row>
    <row r="14" ht="18.0" customHeight="1">
      <c r="A14" s="25" t="s">
        <v>106</v>
      </c>
      <c r="B14" s="18">
        <v>2025.0</v>
      </c>
      <c r="C14" s="18" t="s">
        <v>73</v>
      </c>
      <c r="D14" s="26">
        <v>0.02</v>
      </c>
      <c r="E14" s="22"/>
      <c r="F14" s="21"/>
      <c r="G14" s="21"/>
      <c r="H14" s="21" t="s">
        <v>122</v>
      </c>
    </row>
    <row r="15" ht="18.0" customHeight="1">
      <c r="A15" s="25" t="s">
        <v>106</v>
      </c>
      <c r="B15" s="18">
        <v>2025.0</v>
      </c>
      <c r="C15" s="18" t="s">
        <v>69</v>
      </c>
      <c r="D15" s="26">
        <v>0.05</v>
      </c>
      <c r="E15" s="22"/>
      <c r="F15" s="21"/>
      <c r="G15" s="21"/>
      <c r="H15" s="21" t="s">
        <v>124</v>
      </c>
    </row>
    <row r="16" ht="18.0" customHeight="1">
      <c r="A16" s="21" t="s">
        <v>106</v>
      </c>
      <c r="B16" s="18">
        <v>2025.0</v>
      </c>
      <c r="C16" s="21" t="s">
        <v>82</v>
      </c>
      <c r="D16" s="24"/>
      <c r="E16" s="22"/>
      <c r="F16" s="22"/>
      <c r="G16" s="21"/>
      <c r="H16" s="22"/>
    </row>
    <row r="17" ht="18.0" customHeight="1">
      <c r="A17" s="22"/>
      <c r="B17" s="22"/>
      <c r="C17" s="22"/>
      <c r="D17" s="24"/>
      <c r="E17" s="22"/>
      <c r="F17" s="22"/>
      <c r="G17" s="22"/>
      <c r="H17" s="22"/>
    </row>
    <row r="18" ht="18.0" customHeight="1">
      <c r="A18" s="22"/>
      <c r="B18" s="22"/>
      <c r="C18" s="22"/>
      <c r="D18" s="24"/>
      <c r="E18" s="22"/>
      <c r="F18" s="22"/>
      <c r="G18" s="22"/>
      <c r="H18" s="22"/>
    </row>
    <row r="19" ht="18.0" customHeight="1">
      <c r="A19" s="22"/>
      <c r="B19" s="22"/>
      <c r="C19" s="22"/>
      <c r="D19" s="24"/>
      <c r="E19" s="22"/>
      <c r="F19" s="22"/>
      <c r="G19" s="22"/>
      <c r="H19" s="22"/>
    </row>
    <row r="20" ht="18.0" customHeight="1">
      <c r="A20" s="22"/>
      <c r="B20" s="22"/>
      <c r="C20" s="22"/>
      <c r="D20" s="24"/>
      <c r="E20" s="22"/>
      <c r="F20" s="22"/>
      <c r="G20" s="22"/>
      <c r="H20" s="22"/>
    </row>
    <row r="21" ht="18.0" customHeight="1">
      <c r="A21" s="22"/>
      <c r="B21" s="22"/>
      <c r="C21" s="22"/>
      <c r="D21" s="24"/>
      <c r="E21" s="22"/>
      <c r="F21" s="22"/>
      <c r="G21" s="22"/>
      <c r="H21" s="22"/>
    </row>
    <row r="22" ht="18.0" customHeight="1">
      <c r="A22" s="22"/>
      <c r="B22" s="22"/>
      <c r="C22" s="22"/>
      <c r="D22" s="24"/>
      <c r="E22" s="22"/>
      <c r="F22" s="22"/>
      <c r="G22" s="22"/>
      <c r="H22" s="22"/>
    </row>
    <row r="23" ht="18.0" customHeight="1">
      <c r="A23" s="22"/>
      <c r="B23" s="22"/>
      <c r="C23" s="22"/>
      <c r="D23" s="24"/>
      <c r="E23" s="22"/>
      <c r="F23" s="22"/>
      <c r="G23" s="22"/>
      <c r="H23" s="22"/>
    </row>
    <row r="24" ht="18.0" customHeight="1">
      <c r="A24" s="22"/>
      <c r="B24" s="22"/>
      <c r="C24" s="22"/>
      <c r="D24" s="24"/>
      <c r="E24" s="22"/>
      <c r="F24" s="22"/>
      <c r="G24" s="22"/>
      <c r="H24" s="22"/>
    </row>
    <row r="25" ht="18.0" customHeight="1">
      <c r="A25" s="22"/>
      <c r="B25" s="22"/>
      <c r="C25" s="22"/>
      <c r="D25" s="24"/>
      <c r="E25" s="22"/>
      <c r="F25" s="22"/>
      <c r="G25" s="22"/>
      <c r="H25" s="22"/>
    </row>
    <row r="26" ht="18.0" customHeight="1">
      <c r="A26" s="22"/>
      <c r="B26" s="22"/>
      <c r="C26" s="22"/>
      <c r="D26" s="24"/>
      <c r="E26" s="22"/>
      <c r="F26" s="22"/>
      <c r="G26" s="22"/>
      <c r="H26" s="22"/>
    </row>
    <row r="27" ht="18.0" customHeight="1">
      <c r="A27" s="22"/>
      <c r="B27" s="22"/>
      <c r="C27" s="22"/>
      <c r="D27" s="24"/>
      <c r="E27" s="22"/>
      <c r="F27" s="22"/>
      <c r="G27" s="22"/>
      <c r="H27" s="22"/>
    </row>
    <row r="28" ht="18.0" customHeight="1">
      <c r="A28" s="22"/>
      <c r="B28" s="22"/>
      <c r="C28" s="22"/>
      <c r="D28" s="24"/>
      <c r="E28" s="22"/>
      <c r="F28" s="22"/>
      <c r="G28" s="22"/>
      <c r="H28" s="22"/>
    </row>
    <row r="29" ht="18.0" customHeight="1">
      <c r="A29" s="22"/>
      <c r="B29" s="22"/>
      <c r="C29" s="22"/>
      <c r="D29" s="24"/>
      <c r="E29" s="22"/>
      <c r="F29" s="22"/>
      <c r="G29" s="22"/>
      <c r="H29" s="22"/>
    </row>
    <row r="30" ht="15.75" customHeight="1"/>
    <row r="31" ht="15.75" customHeight="1">
      <c r="A31" s="27" t="s">
        <v>125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31:H31"/>
  </mergeCells>
  <dataValidations>
    <dataValidation type="list" allowBlank="1" showInputMessage="1" showErrorMessage="1" prompt="Invalid mode - Select a transport mode from the list." sqref="C3:C29">
      <formula1>'✅ validations'!$A$2:$A$10</formula1>
    </dataValidation>
    <dataValidation type="list" allowBlank="1" sqref="F3:F8 F10:F29">
      <formula1>'✅ validations'!$D$2:$D$7</formula1>
    </dataValidation>
    <dataValidation type="list" allowBlank="1" sqref="F9">
      <formula1>'✅ validations'!$D$2:$D$7</formula1>
    </dataValidation>
    <dataValidation type="decimal" allowBlank="1" showInputMessage="1" showErrorMessage="1" prompt="Invalid percentage - Enter a decimal between 0 and 1 (e.g. 0.467 for 46.7%)." sqref="D3:D29">
      <formula1>0.0</formula1>
      <formula2>1.0</formula2>
    </dataValidation>
  </dataValidations>
  <printOptions/>
  <pageMargins bottom="1.0" footer="0.0" header="0.0" left="0.75" right="0.75" top="1.0"/>
  <pageSetup orientation="landscape"/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18.0"/>
    <col customWidth="1" min="4" max="4" width="24.0"/>
    <col customWidth="1" min="5" max="5" width="16.0"/>
    <col customWidth="1" min="6" max="6" width="14.0"/>
    <col customWidth="1" min="7" max="7" width="22.0"/>
    <col customWidth="1" min="8" max="8" width="43.86"/>
    <col customWidth="1" min="9" max="9" width="91.0"/>
    <col customWidth="1" min="10" max="26" width="8.71"/>
  </cols>
  <sheetData>
    <row r="1" ht="30.0" customHeight="1">
      <c r="A1" s="14" t="s">
        <v>126</v>
      </c>
      <c r="B1" s="15"/>
      <c r="C1" s="15"/>
      <c r="D1" s="15"/>
      <c r="E1" s="15"/>
      <c r="F1" s="15"/>
      <c r="G1" s="15"/>
      <c r="H1" s="15"/>
      <c r="I1" s="4"/>
    </row>
    <row r="2" ht="36.0" customHeight="1">
      <c r="A2" s="16" t="s">
        <v>127</v>
      </c>
      <c r="B2" s="16" t="s">
        <v>113</v>
      </c>
      <c r="C2" s="16" t="s">
        <v>114</v>
      </c>
      <c r="D2" s="16" t="s">
        <v>128</v>
      </c>
      <c r="E2" s="16" t="s">
        <v>129</v>
      </c>
      <c r="F2" s="16" t="s">
        <v>130</v>
      </c>
      <c r="G2" s="16" t="s">
        <v>117</v>
      </c>
      <c r="H2" s="16" t="s">
        <v>118</v>
      </c>
      <c r="I2" s="17" t="s">
        <v>131</v>
      </c>
    </row>
    <row r="3" ht="18.0" customHeight="1">
      <c r="A3" s="18" t="s">
        <v>101</v>
      </c>
      <c r="B3" s="18">
        <v>2025.0</v>
      </c>
      <c r="C3" s="18" t="s">
        <v>73</v>
      </c>
      <c r="D3" s="18" t="s">
        <v>58</v>
      </c>
      <c r="E3" s="28">
        <v>343400.0</v>
      </c>
      <c r="F3" s="18" t="s">
        <v>132</v>
      </c>
      <c r="G3" s="18" t="s">
        <v>60</v>
      </c>
      <c r="H3" s="18" t="s">
        <v>133</v>
      </c>
      <c r="I3" s="18" t="s">
        <v>134</v>
      </c>
    </row>
    <row r="4" ht="18.0" customHeight="1">
      <c r="A4" s="18" t="s">
        <v>101</v>
      </c>
      <c r="B4" s="18">
        <v>2025.0</v>
      </c>
      <c r="C4" s="18" t="s">
        <v>73</v>
      </c>
      <c r="D4" s="18" t="s">
        <v>62</v>
      </c>
      <c r="E4" s="29">
        <v>21500.0</v>
      </c>
      <c r="F4" s="18" t="s">
        <v>132</v>
      </c>
      <c r="G4" s="18" t="s">
        <v>56</v>
      </c>
      <c r="H4" s="18" t="s">
        <v>134</v>
      </c>
      <c r="I4" s="25" t="s">
        <v>135</v>
      </c>
    </row>
    <row r="5" ht="18.0" customHeight="1">
      <c r="A5" s="18" t="s">
        <v>101</v>
      </c>
      <c r="B5" s="18">
        <v>2025.0</v>
      </c>
      <c r="C5" s="18" t="s">
        <v>136</v>
      </c>
      <c r="D5" s="18" t="s">
        <v>66</v>
      </c>
      <c r="E5" s="28">
        <v>317.0</v>
      </c>
      <c r="F5" s="18" t="s">
        <v>132</v>
      </c>
      <c r="G5" s="18" t="s">
        <v>56</v>
      </c>
      <c r="H5" s="18" t="s">
        <v>137</v>
      </c>
      <c r="I5" s="18"/>
    </row>
    <row r="6" ht="18.0" customHeight="1">
      <c r="A6" s="18" t="s">
        <v>101</v>
      </c>
      <c r="B6" s="18">
        <v>2025.0</v>
      </c>
      <c r="C6" s="18" t="s">
        <v>136</v>
      </c>
      <c r="D6" s="18" t="s">
        <v>70</v>
      </c>
      <c r="E6" s="28">
        <v>317.0</v>
      </c>
      <c r="F6" s="18" t="s">
        <v>132</v>
      </c>
      <c r="G6" s="18" t="s">
        <v>56</v>
      </c>
      <c r="H6" s="18" t="s">
        <v>137</v>
      </c>
      <c r="I6" s="18"/>
    </row>
    <row r="7" ht="18.0" customHeight="1">
      <c r="A7" s="18" t="s">
        <v>101</v>
      </c>
      <c r="B7" s="18">
        <v>2025.0</v>
      </c>
      <c r="C7" s="18" t="s">
        <v>76</v>
      </c>
      <c r="D7" s="18" t="s">
        <v>74</v>
      </c>
      <c r="E7" s="28">
        <v>71096.0</v>
      </c>
      <c r="F7" s="18" t="s">
        <v>132</v>
      </c>
      <c r="G7" s="18" t="s">
        <v>56</v>
      </c>
      <c r="H7" s="18" t="s">
        <v>138</v>
      </c>
      <c r="I7" s="18"/>
    </row>
    <row r="8" ht="18.0" customHeight="1">
      <c r="A8" s="18" t="s">
        <v>101</v>
      </c>
      <c r="B8" s="18">
        <v>2025.0</v>
      </c>
      <c r="C8" s="18" t="s">
        <v>76</v>
      </c>
      <c r="D8" s="18" t="s">
        <v>77</v>
      </c>
      <c r="E8" s="28">
        <v>372.0</v>
      </c>
      <c r="F8" s="18" t="s">
        <v>132</v>
      </c>
      <c r="G8" s="18" t="s">
        <v>56</v>
      </c>
      <c r="H8" s="18" t="s">
        <v>138</v>
      </c>
      <c r="I8" s="18"/>
    </row>
    <row r="9" ht="18.0" customHeight="1">
      <c r="A9" s="18" t="s">
        <v>101</v>
      </c>
      <c r="B9" s="18">
        <v>2025.0</v>
      </c>
      <c r="C9" s="18" t="s">
        <v>61</v>
      </c>
      <c r="D9" s="18" t="s">
        <v>80</v>
      </c>
      <c r="E9" s="28">
        <v>163054.0</v>
      </c>
      <c r="F9" s="18" t="s">
        <v>132</v>
      </c>
      <c r="G9" s="18" t="s">
        <v>56</v>
      </c>
      <c r="H9" s="18" t="s">
        <v>138</v>
      </c>
      <c r="I9" s="18"/>
    </row>
    <row r="10" ht="18.0" customHeight="1">
      <c r="A10" s="18" t="s">
        <v>101</v>
      </c>
      <c r="B10" s="18">
        <v>2025.0</v>
      </c>
      <c r="C10" s="18" t="s">
        <v>61</v>
      </c>
      <c r="D10" s="18" t="s">
        <v>83</v>
      </c>
      <c r="E10" s="28">
        <v>163055.0</v>
      </c>
      <c r="F10" s="18" t="s">
        <v>132</v>
      </c>
      <c r="G10" s="18" t="s">
        <v>56</v>
      </c>
      <c r="H10" s="18" t="s">
        <v>138</v>
      </c>
      <c r="I10" s="18"/>
    </row>
    <row r="11" ht="18.0" customHeight="1">
      <c r="A11" s="18" t="s">
        <v>101</v>
      </c>
      <c r="B11" s="18">
        <v>2025.0</v>
      </c>
      <c r="C11" s="18" t="s">
        <v>61</v>
      </c>
      <c r="D11" s="18" t="s">
        <v>85</v>
      </c>
      <c r="E11" s="28">
        <v>2103.0</v>
      </c>
      <c r="F11" s="18" t="s">
        <v>132</v>
      </c>
      <c r="G11" s="18" t="s">
        <v>56</v>
      </c>
      <c r="H11" s="18" t="s">
        <v>138</v>
      </c>
      <c r="I11" s="18"/>
    </row>
    <row r="12" ht="18.0" customHeight="1">
      <c r="A12" s="18" t="s">
        <v>101</v>
      </c>
      <c r="B12" s="18">
        <v>2025.0</v>
      </c>
      <c r="C12" s="18" t="s">
        <v>61</v>
      </c>
      <c r="D12" s="18" t="s">
        <v>86</v>
      </c>
      <c r="E12" s="28">
        <v>1866.0</v>
      </c>
      <c r="F12" s="18" t="s">
        <v>132</v>
      </c>
      <c r="G12" s="18" t="s">
        <v>56</v>
      </c>
      <c r="H12" s="18" t="s">
        <v>138</v>
      </c>
      <c r="I12" s="18"/>
    </row>
    <row r="13" ht="18.0" customHeight="1">
      <c r="A13" s="18" t="s">
        <v>101</v>
      </c>
      <c r="B13" s="18">
        <v>2025.0</v>
      </c>
      <c r="C13" s="18" t="s">
        <v>79</v>
      </c>
      <c r="D13" s="18" t="s">
        <v>87</v>
      </c>
      <c r="E13" s="28">
        <v>645.0</v>
      </c>
      <c r="F13" s="18" t="s">
        <v>132</v>
      </c>
      <c r="G13" s="18" t="s">
        <v>56</v>
      </c>
      <c r="H13" s="18" t="s">
        <v>139</v>
      </c>
      <c r="I13" s="18"/>
    </row>
    <row r="14" ht="18.0" customHeight="1">
      <c r="A14" s="18" t="s">
        <v>101</v>
      </c>
      <c r="B14" s="18">
        <v>2025.0</v>
      </c>
      <c r="C14" s="18" t="s">
        <v>79</v>
      </c>
      <c r="D14" s="18" t="s">
        <v>88</v>
      </c>
      <c r="E14" s="28">
        <v>4.0</v>
      </c>
      <c r="F14" s="18" t="s">
        <v>132</v>
      </c>
      <c r="G14" s="18" t="s">
        <v>56</v>
      </c>
      <c r="H14" s="18" t="s">
        <v>139</v>
      </c>
      <c r="I14" s="25" t="s">
        <v>140</v>
      </c>
    </row>
    <row r="15" ht="18.0" customHeight="1">
      <c r="A15" s="18" t="s">
        <v>101</v>
      </c>
      <c r="B15" s="18">
        <v>2025.0</v>
      </c>
      <c r="C15" s="18" t="s">
        <v>79</v>
      </c>
      <c r="D15" s="18" t="s">
        <v>89</v>
      </c>
      <c r="E15" s="28">
        <v>4.0</v>
      </c>
      <c r="F15" s="18" t="s">
        <v>132</v>
      </c>
      <c r="G15" s="18" t="s">
        <v>56</v>
      </c>
      <c r="H15" s="18" t="s">
        <v>139</v>
      </c>
      <c r="I15" s="25" t="s">
        <v>141</v>
      </c>
    </row>
    <row r="16" ht="18.0" customHeight="1">
      <c r="A16" s="18" t="s">
        <v>101</v>
      </c>
      <c r="B16" s="18">
        <v>2025.0</v>
      </c>
      <c r="C16" s="18" t="s">
        <v>65</v>
      </c>
      <c r="D16" s="18" t="s">
        <v>90</v>
      </c>
      <c r="E16" s="28">
        <v>840.0</v>
      </c>
      <c r="F16" s="18" t="s">
        <v>132</v>
      </c>
      <c r="G16" s="18" t="s">
        <v>56</v>
      </c>
      <c r="H16" s="18" t="s">
        <v>142</v>
      </c>
      <c r="I16" s="18"/>
    </row>
    <row r="17" ht="18.0" customHeight="1">
      <c r="A17" s="18" t="s">
        <v>101</v>
      </c>
      <c r="B17" s="18">
        <v>2025.0</v>
      </c>
      <c r="C17" s="18" t="s">
        <v>65</v>
      </c>
      <c r="D17" s="18" t="s">
        <v>91</v>
      </c>
      <c r="E17" s="28">
        <v>131.0</v>
      </c>
      <c r="F17" s="18" t="s">
        <v>132</v>
      </c>
      <c r="G17" s="18" t="s">
        <v>56</v>
      </c>
      <c r="H17" s="18" t="s">
        <v>142</v>
      </c>
      <c r="I17" s="18"/>
    </row>
    <row r="18" ht="18.0" customHeight="1">
      <c r="A18" s="18" t="s">
        <v>101</v>
      </c>
      <c r="B18" s="18">
        <v>2025.0</v>
      </c>
      <c r="C18" s="18" t="s">
        <v>65</v>
      </c>
      <c r="D18" s="18" t="s">
        <v>92</v>
      </c>
      <c r="E18" s="28">
        <v>49.0</v>
      </c>
      <c r="F18" s="18" t="s">
        <v>132</v>
      </c>
      <c r="G18" s="18" t="s">
        <v>56</v>
      </c>
      <c r="H18" s="18" t="s">
        <v>142</v>
      </c>
      <c r="I18" s="18"/>
    </row>
    <row r="19" ht="18.0" customHeight="1">
      <c r="A19" s="18" t="s">
        <v>101</v>
      </c>
      <c r="B19" s="18">
        <v>2025.0</v>
      </c>
      <c r="C19" s="18" t="s">
        <v>69</v>
      </c>
      <c r="D19" s="18" t="s">
        <v>93</v>
      </c>
      <c r="E19" s="28">
        <v>62.0</v>
      </c>
      <c r="F19" s="18" t="s">
        <v>132</v>
      </c>
      <c r="G19" s="18" t="s">
        <v>56</v>
      </c>
      <c r="H19" s="18" t="s">
        <v>143</v>
      </c>
      <c r="I19" s="18"/>
    </row>
    <row r="20" ht="18.0" customHeight="1">
      <c r="A20" s="21" t="s">
        <v>106</v>
      </c>
      <c r="B20" s="21">
        <v>2025.0</v>
      </c>
      <c r="C20" s="21" t="s">
        <v>136</v>
      </c>
      <c r="D20" s="21" t="s">
        <v>66</v>
      </c>
      <c r="E20" s="30">
        <f>5500*0.85</f>
        <v>4675</v>
      </c>
      <c r="F20" s="21" t="s">
        <v>132</v>
      </c>
      <c r="G20" s="22"/>
      <c r="H20" s="21" t="s">
        <v>144</v>
      </c>
      <c r="I20" s="22"/>
    </row>
    <row r="21" ht="18.0" customHeight="1">
      <c r="A21" s="21" t="s">
        <v>106</v>
      </c>
      <c r="B21" s="21">
        <v>2025.0</v>
      </c>
      <c r="C21" s="21" t="s">
        <v>136</v>
      </c>
      <c r="D21" s="21" t="s">
        <v>70</v>
      </c>
      <c r="E21" s="30">
        <f>5500*0.15</f>
        <v>825</v>
      </c>
      <c r="F21" s="21" t="s">
        <v>132</v>
      </c>
      <c r="G21" s="22"/>
      <c r="H21" s="21" t="s">
        <v>145</v>
      </c>
      <c r="I21" s="22"/>
    </row>
    <row r="22" ht="18.0" customHeight="1">
      <c r="A22" s="21" t="s">
        <v>106</v>
      </c>
      <c r="B22" s="21">
        <v>2025.0</v>
      </c>
      <c r="C22" s="21" t="s">
        <v>61</v>
      </c>
      <c r="D22" s="21" t="s">
        <v>80</v>
      </c>
      <c r="E22" s="31">
        <f> 71917</f>
        <v>71917</v>
      </c>
      <c r="F22" s="21" t="s">
        <v>132</v>
      </c>
      <c r="G22" s="22"/>
      <c r="H22" s="21" t="s">
        <v>146</v>
      </c>
      <c r="I22" s="32" t="s">
        <v>147</v>
      </c>
    </row>
    <row r="23" ht="18.0" customHeight="1">
      <c r="A23" s="21" t="s">
        <v>106</v>
      </c>
      <c r="B23" s="21">
        <v>2025.0</v>
      </c>
      <c r="C23" s="21" t="s">
        <v>61</v>
      </c>
      <c r="D23" s="21" t="s">
        <v>86</v>
      </c>
      <c r="E23" s="31">
        <f> 12754</f>
        <v>12754</v>
      </c>
      <c r="F23" s="21" t="s">
        <v>132</v>
      </c>
      <c r="G23" s="22"/>
      <c r="H23" s="21" t="s">
        <v>146</v>
      </c>
      <c r="I23" s="22"/>
    </row>
    <row r="24" ht="18.0" customHeight="1">
      <c r="A24" s="21" t="s">
        <v>106</v>
      </c>
      <c r="B24" s="21">
        <v>2025.0</v>
      </c>
      <c r="C24" s="21" t="s">
        <v>61</v>
      </c>
      <c r="D24" s="21" t="s">
        <v>85</v>
      </c>
      <c r="E24" s="31">
        <f> 10192</f>
        <v>10192</v>
      </c>
      <c r="F24" s="21" t="s">
        <v>132</v>
      </c>
      <c r="G24" s="22"/>
      <c r="H24" s="21" t="s">
        <v>146</v>
      </c>
      <c r="I24" s="22"/>
    </row>
    <row r="25" ht="18.0" customHeight="1">
      <c r="A25" s="21" t="s">
        <v>106</v>
      </c>
      <c r="B25" s="21">
        <v>2025.0</v>
      </c>
      <c r="C25" s="21" t="s">
        <v>65</v>
      </c>
      <c r="D25" s="21" t="s">
        <v>90</v>
      </c>
      <c r="E25" s="33">
        <v>0.9</v>
      </c>
      <c r="F25" s="21" t="s">
        <v>148</v>
      </c>
      <c r="G25" s="22"/>
      <c r="H25" s="22"/>
      <c r="I25" s="22"/>
    </row>
    <row r="26" ht="18.0" customHeight="1">
      <c r="A26" s="21" t="s">
        <v>106</v>
      </c>
      <c r="B26" s="21">
        <v>2025.0</v>
      </c>
      <c r="C26" s="21" t="s">
        <v>65</v>
      </c>
      <c r="D26" s="21" t="s">
        <v>92</v>
      </c>
      <c r="E26" s="33">
        <v>0.1</v>
      </c>
      <c r="F26" s="21" t="s">
        <v>148</v>
      </c>
      <c r="G26" s="22"/>
      <c r="H26" s="21" t="s">
        <v>149</v>
      </c>
      <c r="I26" s="22"/>
    </row>
    <row r="27" ht="18.0" customHeight="1">
      <c r="A27" s="21" t="s">
        <v>106</v>
      </c>
      <c r="B27" s="21">
        <v>2025.0</v>
      </c>
      <c r="C27" s="21" t="s">
        <v>69</v>
      </c>
      <c r="D27" s="21" t="s">
        <v>93</v>
      </c>
      <c r="E27" s="34">
        <v>1.0</v>
      </c>
      <c r="F27" s="21" t="s">
        <v>148</v>
      </c>
      <c r="G27" s="22"/>
      <c r="H27" s="22"/>
      <c r="I27" s="22"/>
    </row>
    <row r="28" ht="18.0" customHeight="1">
      <c r="A28" s="21" t="s">
        <v>106</v>
      </c>
      <c r="B28" s="21">
        <v>2025.0</v>
      </c>
      <c r="C28" s="21" t="s">
        <v>79</v>
      </c>
      <c r="D28" s="21" t="s">
        <v>87</v>
      </c>
      <c r="E28" s="34">
        <v>72.0</v>
      </c>
      <c r="F28" s="21" t="s">
        <v>150</v>
      </c>
      <c r="G28" s="22"/>
      <c r="H28" s="21" t="s">
        <v>151</v>
      </c>
      <c r="I28" s="22"/>
    </row>
    <row r="29" ht="18.0" customHeight="1">
      <c r="A29" s="21" t="s">
        <v>106</v>
      </c>
      <c r="B29" s="21">
        <v>2025.0</v>
      </c>
      <c r="C29" s="21" t="s">
        <v>79</v>
      </c>
      <c r="D29" s="21" t="s">
        <v>89</v>
      </c>
      <c r="E29" s="34">
        <v>13.0</v>
      </c>
      <c r="F29" s="21" t="s">
        <v>150</v>
      </c>
      <c r="G29" s="22"/>
      <c r="H29" s="22"/>
      <c r="I29" s="22"/>
    </row>
    <row r="30" ht="18.0" customHeight="1">
      <c r="A30" s="21" t="s">
        <v>106</v>
      </c>
      <c r="B30" s="21">
        <v>2025.0</v>
      </c>
      <c r="C30" s="21" t="s">
        <v>79</v>
      </c>
      <c r="D30" s="21" t="s">
        <v>88</v>
      </c>
      <c r="E30" s="34">
        <v>10.0</v>
      </c>
      <c r="F30" s="21" t="s">
        <v>150</v>
      </c>
      <c r="G30" s="22"/>
      <c r="H30" s="22"/>
      <c r="I30" s="22"/>
    </row>
    <row r="31" ht="18.0" customHeight="1">
      <c r="A31" s="22"/>
      <c r="B31" s="22"/>
      <c r="C31" s="22"/>
      <c r="D31" s="22"/>
      <c r="E31" s="30"/>
      <c r="F31" s="22"/>
      <c r="G31" s="22"/>
      <c r="H31" s="22"/>
      <c r="I31" s="22"/>
    </row>
    <row r="32" ht="18.0" customHeight="1">
      <c r="A32" s="22"/>
      <c r="B32" s="22"/>
      <c r="C32" s="22"/>
      <c r="D32" s="22"/>
      <c r="E32" s="30"/>
      <c r="F32" s="22"/>
      <c r="G32" s="22"/>
      <c r="H32" s="22"/>
      <c r="I32" s="22"/>
    </row>
    <row r="33" ht="18.0" customHeight="1">
      <c r="A33" s="22"/>
      <c r="B33" s="22"/>
      <c r="C33" s="22"/>
      <c r="D33" s="22"/>
      <c r="E33" s="30"/>
      <c r="F33" s="22"/>
      <c r="G33" s="22"/>
      <c r="H33" s="22"/>
      <c r="I33" s="22"/>
    </row>
    <row r="34" ht="18.0" customHeight="1">
      <c r="A34" s="22"/>
      <c r="B34" s="22"/>
      <c r="C34" s="22"/>
      <c r="D34" s="22"/>
      <c r="E34" s="30"/>
      <c r="F34" s="22"/>
      <c r="G34" s="22"/>
      <c r="H34" s="22"/>
      <c r="I34" s="22"/>
    </row>
    <row r="35" ht="18.0" customHeight="1">
      <c r="A35" s="22"/>
      <c r="B35" s="22"/>
      <c r="C35" s="22"/>
      <c r="D35" s="22"/>
      <c r="E35" s="30"/>
      <c r="F35" s="22"/>
      <c r="G35" s="22"/>
      <c r="H35" s="22"/>
      <c r="I35" s="22"/>
    </row>
    <row r="36" ht="18.0" customHeight="1">
      <c r="A36" s="22"/>
      <c r="B36" s="22"/>
      <c r="C36" s="22"/>
      <c r="D36" s="22"/>
      <c r="E36" s="30"/>
      <c r="F36" s="22"/>
      <c r="G36" s="22"/>
      <c r="H36" s="22"/>
      <c r="I36" s="22"/>
    </row>
    <row r="37" ht="18.0" customHeight="1">
      <c r="A37" s="22"/>
      <c r="B37" s="22"/>
      <c r="C37" s="22"/>
      <c r="D37" s="22"/>
      <c r="E37" s="30"/>
      <c r="F37" s="22"/>
      <c r="G37" s="22"/>
      <c r="H37" s="22"/>
      <c r="I37" s="22"/>
    </row>
    <row r="38" ht="18.0" customHeight="1">
      <c r="A38" s="22"/>
      <c r="B38" s="22"/>
      <c r="C38" s="22"/>
      <c r="D38" s="22"/>
      <c r="E38" s="30"/>
      <c r="F38" s="22"/>
      <c r="G38" s="22"/>
      <c r="H38" s="22"/>
      <c r="I38" s="22"/>
    </row>
    <row r="39" ht="18.0" customHeight="1">
      <c r="A39" s="22"/>
      <c r="B39" s="22"/>
      <c r="C39" s="22"/>
      <c r="D39" s="22"/>
      <c r="E39" s="30"/>
      <c r="F39" s="22"/>
      <c r="G39" s="22"/>
      <c r="H39" s="22"/>
      <c r="I39" s="22"/>
    </row>
    <row r="40" ht="18.0" customHeight="1">
      <c r="A40" s="22"/>
      <c r="B40" s="22"/>
      <c r="C40" s="22"/>
      <c r="D40" s="22"/>
      <c r="E40" s="30"/>
      <c r="F40" s="22"/>
      <c r="G40" s="22"/>
      <c r="H40" s="22"/>
      <c r="I40" s="22"/>
    </row>
    <row r="41" ht="18.0" customHeight="1">
      <c r="A41" s="22"/>
      <c r="B41" s="22"/>
      <c r="C41" s="22"/>
      <c r="D41" s="22"/>
      <c r="E41" s="30"/>
      <c r="F41" s="22"/>
      <c r="G41" s="22"/>
      <c r="H41" s="22"/>
      <c r="I41" s="22"/>
    </row>
    <row r="42" ht="18.0" customHeight="1">
      <c r="A42" s="22"/>
      <c r="B42" s="22"/>
      <c r="C42" s="22"/>
      <c r="D42" s="22"/>
      <c r="E42" s="30"/>
      <c r="F42" s="22"/>
      <c r="G42" s="22"/>
      <c r="H42" s="22"/>
      <c r="I42" s="22"/>
    </row>
    <row r="43" ht="18.0" customHeight="1">
      <c r="A43" s="22"/>
      <c r="B43" s="22"/>
      <c r="C43" s="22"/>
      <c r="D43" s="22"/>
      <c r="E43" s="30"/>
      <c r="F43" s="22"/>
      <c r="G43" s="22"/>
      <c r="H43" s="22"/>
      <c r="I43" s="22"/>
    </row>
    <row r="44" ht="18.0" customHeight="1">
      <c r="A44" s="22"/>
      <c r="B44" s="22"/>
      <c r="C44" s="22"/>
      <c r="D44" s="22"/>
      <c r="E44" s="30"/>
      <c r="F44" s="22"/>
      <c r="G44" s="22"/>
      <c r="H44" s="22"/>
      <c r="I44" s="22"/>
    </row>
    <row r="45" ht="18.0" customHeight="1">
      <c r="A45" s="22"/>
      <c r="B45" s="22"/>
      <c r="C45" s="22"/>
      <c r="D45" s="22"/>
      <c r="E45" s="30"/>
      <c r="F45" s="22"/>
      <c r="G45" s="22"/>
      <c r="H45" s="22"/>
      <c r="I45" s="22"/>
    </row>
    <row r="46" ht="18.0" customHeight="1">
      <c r="A46" s="22"/>
      <c r="B46" s="22"/>
      <c r="C46" s="22"/>
      <c r="D46" s="22"/>
      <c r="E46" s="30"/>
      <c r="F46" s="22"/>
      <c r="G46" s="22"/>
      <c r="H46" s="22"/>
      <c r="I46" s="22"/>
    </row>
    <row r="47" ht="18.0" customHeight="1">
      <c r="A47" s="22"/>
      <c r="B47" s="22"/>
      <c r="C47" s="22"/>
      <c r="D47" s="22"/>
      <c r="E47" s="30"/>
      <c r="F47" s="22"/>
      <c r="G47" s="22"/>
      <c r="H47" s="22"/>
      <c r="I47" s="22"/>
    </row>
    <row r="48" ht="18.0" customHeight="1">
      <c r="A48" s="22"/>
      <c r="B48" s="22"/>
      <c r="C48" s="22"/>
      <c r="D48" s="22"/>
      <c r="E48" s="30"/>
      <c r="F48" s="22"/>
      <c r="G48" s="22"/>
      <c r="H48" s="22"/>
      <c r="I48" s="22"/>
    </row>
    <row r="49" ht="18.0" customHeight="1">
      <c r="A49" s="22"/>
      <c r="B49" s="22"/>
      <c r="C49" s="22"/>
      <c r="D49" s="22"/>
      <c r="E49" s="30"/>
      <c r="F49" s="22"/>
      <c r="G49" s="22"/>
      <c r="H49" s="22"/>
      <c r="I49" s="22"/>
    </row>
    <row r="50" ht="18.0" customHeight="1">
      <c r="A50" s="22"/>
      <c r="B50" s="22"/>
      <c r="C50" s="22"/>
      <c r="D50" s="22"/>
      <c r="E50" s="30"/>
      <c r="F50" s="22"/>
      <c r="G50" s="22"/>
      <c r="H50" s="22"/>
      <c r="I50" s="22"/>
    </row>
    <row r="51" ht="18.0" customHeight="1">
      <c r="A51" s="22"/>
      <c r="B51" s="22"/>
      <c r="C51" s="22"/>
      <c r="D51" s="22"/>
      <c r="E51" s="30"/>
      <c r="F51" s="22"/>
      <c r="G51" s="22"/>
      <c r="H51" s="22"/>
      <c r="I51" s="22"/>
    </row>
    <row r="52" ht="18.0" customHeight="1">
      <c r="A52" s="22"/>
      <c r="B52" s="22"/>
      <c r="C52" s="22"/>
      <c r="D52" s="22"/>
      <c r="E52" s="30"/>
      <c r="F52" s="22"/>
      <c r="G52" s="22"/>
      <c r="H52" s="22"/>
      <c r="I52" s="22"/>
    </row>
    <row r="53" ht="18.0" customHeight="1">
      <c r="A53" s="22"/>
      <c r="B53" s="22"/>
      <c r="C53" s="22"/>
      <c r="D53" s="22"/>
      <c r="E53" s="30"/>
      <c r="F53" s="22"/>
      <c r="G53" s="22"/>
      <c r="H53" s="22"/>
      <c r="I53" s="22"/>
    </row>
    <row r="54" ht="18.0" customHeight="1">
      <c r="A54" s="22"/>
      <c r="B54" s="22"/>
      <c r="C54" s="22"/>
      <c r="D54" s="22"/>
      <c r="E54" s="30"/>
      <c r="F54" s="22"/>
      <c r="G54" s="22"/>
      <c r="H54" s="22"/>
      <c r="I54" s="22"/>
    </row>
    <row r="55" ht="18.0" customHeight="1">
      <c r="A55" s="22"/>
      <c r="B55" s="22"/>
      <c r="C55" s="22"/>
      <c r="D55" s="22"/>
      <c r="E55" s="30"/>
      <c r="F55" s="22"/>
      <c r="G55" s="22"/>
      <c r="H55" s="22"/>
      <c r="I55" s="22"/>
    </row>
    <row r="56" ht="18.0" customHeight="1">
      <c r="A56" s="22"/>
      <c r="B56" s="22"/>
      <c r="C56" s="22"/>
      <c r="D56" s="22"/>
      <c r="E56" s="30"/>
      <c r="F56" s="22"/>
      <c r="G56" s="22"/>
      <c r="H56" s="22"/>
      <c r="I56" s="22"/>
    </row>
    <row r="57" ht="18.0" customHeight="1">
      <c r="A57" s="22"/>
      <c r="B57" s="22"/>
      <c r="C57" s="22"/>
      <c r="D57" s="22"/>
      <c r="E57" s="30"/>
      <c r="F57" s="22"/>
      <c r="G57" s="22"/>
      <c r="H57" s="22"/>
      <c r="I57" s="22"/>
    </row>
    <row r="58" ht="18.0" customHeight="1">
      <c r="A58" s="22"/>
      <c r="B58" s="22"/>
      <c r="C58" s="22"/>
      <c r="D58" s="22"/>
      <c r="E58" s="30"/>
      <c r="F58" s="22"/>
      <c r="G58" s="22"/>
      <c r="H58" s="22"/>
      <c r="I58" s="2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I1"/>
  </mergeCells>
  <dataValidations>
    <dataValidation type="list" allowBlank="1" sqref="C3:C58">
      <formula1>'✅ validations'!$A$2:$A$10</formula1>
    </dataValidation>
    <dataValidation type="list" allowBlank="1" sqref="G3:G58">
      <formula1>'✅ validations'!$D$2:$D$7</formula1>
    </dataValidation>
    <dataValidation type="list" allowBlank="1" sqref="D3:D58">
      <formula1>'✅ validations'!$B$2:$B$20</formula1>
    </dataValidation>
  </dataValidations>
  <hyperlinks>
    <hyperlink r:id="rId4" ref="I22"/>
  </hyperlinks>
  <printOptions/>
  <pageMargins bottom="1.0" footer="0.0" header="0.0" left="0.75" right="0.75" top="1.0"/>
  <pageSetup orientation="landscape"/>
  <drawing r:id="rId5"/>
  <legacyDrawing r:id="rId6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16.0"/>
    <col customWidth="1" min="4" max="4" width="18.0"/>
    <col customWidth="1" min="5" max="8" width="20.0"/>
    <col customWidth="1" min="9" max="9" width="22.0"/>
    <col customWidth="1" min="10" max="10" width="40.0"/>
    <col customWidth="1" min="11" max="11" width="134.86"/>
    <col customWidth="1" min="12" max="26" width="8.71"/>
  </cols>
  <sheetData>
    <row r="1" ht="30.0" customHeight="1">
      <c r="A1" s="14" t="s">
        <v>152</v>
      </c>
      <c r="B1" s="15"/>
      <c r="C1" s="15"/>
      <c r="D1" s="15"/>
      <c r="E1" s="15"/>
      <c r="F1" s="15"/>
      <c r="G1" s="15"/>
      <c r="H1" s="15"/>
      <c r="I1" s="15"/>
      <c r="J1" s="15"/>
      <c r="K1" s="4"/>
    </row>
    <row r="2" ht="61.5" customHeight="1">
      <c r="A2" s="16" t="s">
        <v>127</v>
      </c>
      <c r="B2" s="16" t="s">
        <v>113</v>
      </c>
      <c r="C2" s="16" t="s">
        <v>153</v>
      </c>
      <c r="D2" s="17" t="s">
        <v>154</v>
      </c>
      <c r="E2" s="17" t="s">
        <v>155</v>
      </c>
      <c r="F2" s="17" t="s">
        <v>156</v>
      </c>
      <c r="G2" s="17" t="s">
        <v>157</v>
      </c>
      <c r="H2" s="16" t="s">
        <v>158</v>
      </c>
      <c r="I2" s="16" t="s">
        <v>117</v>
      </c>
      <c r="J2" s="16" t="s">
        <v>118</v>
      </c>
      <c r="K2" s="16" t="s">
        <v>119</v>
      </c>
    </row>
    <row r="3">
      <c r="A3" s="18" t="s">
        <v>101</v>
      </c>
      <c r="B3" s="18">
        <v>2025.0</v>
      </c>
      <c r="C3" s="28">
        <v>735332.0</v>
      </c>
      <c r="D3" s="28">
        <v>45259.0</v>
      </c>
      <c r="E3" s="35">
        <v>0.0089</v>
      </c>
      <c r="F3" s="35"/>
      <c r="G3" s="35"/>
      <c r="H3" s="28"/>
      <c r="I3" s="18" t="s">
        <v>56</v>
      </c>
      <c r="J3" s="18" t="s">
        <v>159</v>
      </c>
      <c r="K3" s="25" t="s">
        <v>160</v>
      </c>
    </row>
    <row r="4" ht="18.0" customHeight="1">
      <c r="A4" s="21" t="s">
        <v>106</v>
      </c>
      <c r="B4" s="21">
        <v>2025.0</v>
      </c>
      <c r="C4" s="34">
        <v>4900000.0</v>
      </c>
      <c r="D4" s="34">
        <f>610486000000/C4</f>
        <v>124588.9796</v>
      </c>
      <c r="E4" s="36">
        <v>0.006</v>
      </c>
      <c r="F4" s="37"/>
      <c r="G4" s="37"/>
      <c r="H4" s="30"/>
      <c r="I4" s="21" t="s">
        <v>56</v>
      </c>
      <c r="J4" s="21" t="s">
        <v>161</v>
      </c>
      <c r="K4" s="38" t="s">
        <v>162</v>
      </c>
    </row>
    <row r="5" ht="18.0" customHeight="1">
      <c r="A5" s="22"/>
      <c r="B5" s="22"/>
      <c r="C5" s="30"/>
      <c r="D5" s="30"/>
      <c r="E5" s="37"/>
      <c r="F5" s="37"/>
      <c r="G5" s="37"/>
      <c r="H5" s="30"/>
      <c r="I5" s="22"/>
      <c r="J5" s="22"/>
      <c r="K5" s="22"/>
    </row>
    <row r="6" ht="18.0" customHeight="1">
      <c r="A6" s="22"/>
      <c r="B6" s="22"/>
      <c r="C6" s="30"/>
      <c r="D6" s="30"/>
      <c r="E6" s="37"/>
      <c r="F6" s="37"/>
      <c r="G6" s="37"/>
      <c r="H6" s="30"/>
      <c r="I6" s="22"/>
      <c r="J6" s="22"/>
      <c r="K6" s="22"/>
    </row>
    <row r="7" ht="18.0" customHeight="1">
      <c r="A7" s="22"/>
      <c r="B7" s="22"/>
      <c r="C7" s="30"/>
      <c r="D7" s="30"/>
      <c r="E7" s="37"/>
      <c r="F7" s="37"/>
      <c r="G7" s="37"/>
      <c r="H7" s="30"/>
      <c r="I7" s="22"/>
      <c r="J7" s="22"/>
      <c r="K7" s="22"/>
    </row>
    <row r="8" ht="18.0" customHeight="1">
      <c r="A8" s="22"/>
      <c r="B8" s="22"/>
      <c r="C8" s="30"/>
      <c r="D8" s="30"/>
      <c r="E8" s="37"/>
      <c r="F8" s="37"/>
      <c r="G8" s="37"/>
      <c r="H8" s="30"/>
      <c r="I8" s="22"/>
      <c r="J8" s="22"/>
      <c r="K8" s="22"/>
    </row>
    <row r="9" ht="18.0" customHeight="1">
      <c r="A9" s="22"/>
      <c r="B9" s="22"/>
      <c r="C9" s="30"/>
      <c r="D9" s="30"/>
      <c r="E9" s="37"/>
      <c r="F9" s="37"/>
      <c r="G9" s="37"/>
      <c r="H9" s="30"/>
      <c r="I9" s="22"/>
      <c r="J9" s="22"/>
      <c r="K9" s="22"/>
    </row>
    <row r="10" ht="18.0" customHeight="1">
      <c r="A10" s="22"/>
      <c r="B10" s="22"/>
      <c r="C10" s="30"/>
      <c r="D10" s="30"/>
      <c r="E10" s="37"/>
      <c r="F10" s="37"/>
      <c r="G10" s="37"/>
      <c r="H10" s="30"/>
      <c r="I10" s="22"/>
      <c r="J10" s="22"/>
      <c r="K10" s="22"/>
    </row>
    <row r="11" ht="18.0" customHeight="1">
      <c r="A11" s="22"/>
      <c r="B11" s="22"/>
      <c r="C11" s="30"/>
      <c r="D11" s="30"/>
      <c r="E11" s="37"/>
      <c r="F11" s="37"/>
      <c r="G11" s="37"/>
      <c r="H11" s="30"/>
      <c r="I11" s="22"/>
      <c r="J11" s="22"/>
      <c r="K11" s="22"/>
    </row>
    <row r="12" ht="18.0" customHeight="1">
      <c r="A12" s="22"/>
      <c r="B12" s="22"/>
      <c r="C12" s="30"/>
      <c r="D12" s="30"/>
      <c r="E12" s="37"/>
      <c r="F12" s="37"/>
      <c r="G12" s="37"/>
      <c r="H12" s="30"/>
      <c r="I12" s="22"/>
      <c r="J12" s="22"/>
      <c r="K12" s="22"/>
    </row>
    <row r="13" ht="18.0" customHeight="1">
      <c r="A13" s="22"/>
      <c r="B13" s="22"/>
      <c r="C13" s="30"/>
      <c r="D13" s="30"/>
      <c r="E13" s="37"/>
      <c r="F13" s="37"/>
      <c r="G13" s="37"/>
      <c r="H13" s="30"/>
      <c r="I13" s="22"/>
      <c r="J13" s="22"/>
      <c r="K13" s="22"/>
    </row>
    <row r="14" ht="18.0" customHeight="1">
      <c r="A14" s="22"/>
      <c r="B14" s="22"/>
      <c r="C14" s="30"/>
      <c r="D14" s="30"/>
      <c r="E14" s="37"/>
      <c r="F14" s="37"/>
      <c r="G14" s="37"/>
      <c r="H14" s="30"/>
      <c r="I14" s="22"/>
      <c r="J14" s="22"/>
      <c r="K14" s="22"/>
    </row>
    <row r="15" ht="18.0" customHeight="1">
      <c r="A15" s="22"/>
      <c r="B15" s="22"/>
      <c r="C15" s="30"/>
      <c r="D15" s="30"/>
      <c r="E15" s="37"/>
      <c r="F15" s="37"/>
      <c r="G15" s="37"/>
      <c r="H15" s="30"/>
      <c r="I15" s="22"/>
      <c r="J15" s="22"/>
      <c r="K15" s="22"/>
    </row>
    <row r="16" ht="18.0" customHeight="1">
      <c r="A16" s="22"/>
      <c r="B16" s="22"/>
      <c r="C16" s="30"/>
      <c r="D16" s="30"/>
      <c r="E16" s="37"/>
      <c r="F16" s="37"/>
      <c r="G16" s="37"/>
      <c r="H16" s="30"/>
      <c r="I16" s="22"/>
      <c r="J16" s="22"/>
      <c r="K16" s="22"/>
    </row>
    <row r="17" ht="18.0" customHeight="1">
      <c r="A17" s="22"/>
      <c r="B17" s="22"/>
      <c r="C17" s="30"/>
      <c r="D17" s="30"/>
      <c r="E17" s="37"/>
      <c r="F17" s="37"/>
      <c r="G17" s="37"/>
      <c r="H17" s="30"/>
      <c r="I17" s="22"/>
      <c r="J17" s="22"/>
      <c r="K17" s="22"/>
    </row>
    <row r="18" ht="18.0" customHeight="1">
      <c r="A18" s="22"/>
      <c r="B18" s="22"/>
      <c r="C18" s="30"/>
      <c r="D18" s="30"/>
      <c r="E18" s="37"/>
      <c r="F18" s="37"/>
      <c r="G18" s="37"/>
      <c r="H18" s="30"/>
      <c r="I18" s="22"/>
      <c r="J18" s="22"/>
      <c r="K18" s="22"/>
    </row>
    <row r="19" ht="30.0" customHeight="1">
      <c r="A19" s="21" t="s">
        <v>163</v>
      </c>
      <c r="B19" s="21">
        <v>2024.0</v>
      </c>
      <c r="C19" s="34">
        <v>8.2E9</v>
      </c>
      <c r="D19" s="30"/>
      <c r="E19" s="37"/>
      <c r="F19" s="37"/>
      <c r="G19" s="37"/>
      <c r="H19" s="30"/>
      <c r="I19" s="22"/>
      <c r="J19" s="21" t="s">
        <v>164</v>
      </c>
      <c r="K19" s="38" t="s">
        <v>165</v>
      </c>
    </row>
    <row r="21" ht="15.75" customHeight="1">
      <c r="A21" s="39" t="s">
        <v>166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dataValidations>
    <dataValidation type="list" allowBlank="1" sqref="I3:I19">
      <formula1>'✅ validations'!$D$2:$D$7</formula1>
    </dataValidation>
  </dataValidations>
  <hyperlinks>
    <hyperlink r:id="rId4" ref="K4"/>
    <hyperlink r:id="rId5" ref="K19"/>
  </hyperlinks>
  <printOptions/>
  <pageMargins bottom="1.0" footer="0.0" header="0.0" left="0.75" right="0.75" top="1.0"/>
  <pageSetup orientation="landscape"/>
  <drawing r:id="rId6"/>
  <legacyDrawing r:id="rId7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18.0"/>
    <col customWidth="1" min="4" max="4" width="16.0"/>
    <col customWidth="1" min="5" max="5" width="14.0"/>
    <col customWidth="1" min="6" max="6" width="22.0"/>
    <col customWidth="1" min="7" max="7" width="43.86"/>
    <col customWidth="1" min="8" max="8" width="91.0"/>
    <col customWidth="1" min="9" max="25" width="8.71"/>
  </cols>
  <sheetData>
    <row r="1" ht="30.0" customHeight="1">
      <c r="A1" s="40" t="s">
        <v>167</v>
      </c>
      <c r="B1" s="15"/>
      <c r="C1" s="15"/>
      <c r="D1" s="15"/>
      <c r="E1" s="15"/>
      <c r="F1" s="15"/>
      <c r="G1" s="15"/>
      <c r="H1" s="4"/>
    </row>
    <row r="2" ht="36.0" customHeight="1">
      <c r="A2" s="41" t="s">
        <v>127</v>
      </c>
      <c r="B2" s="41" t="s">
        <v>113</v>
      </c>
      <c r="C2" s="41" t="s">
        <v>114</v>
      </c>
      <c r="D2" s="42" t="s">
        <v>168</v>
      </c>
      <c r="E2" s="42" t="s">
        <v>169</v>
      </c>
      <c r="F2" s="41" t="s">
        <v>117</v>
      </c>
      <c r="G2" s="41" t="s">
        <v>118</v>
      </c>
      <c r="H2" s="42" t="s">
        <v>131</v>
      </c>
    </row>
    <row r="3" ht="18.0" customHeight="1">
      <c r="A3" s="18" t="s">
        <v>101</v>
      </c>
      <c r="B3" s="18">
        <v>2025.0</v>
      </c>
      <c r="C3" s="18" t="s">
        <v>73</v>
      </c>
      <c r="D3" s="29" t="s">
        <v>170</v>
      </c>
      <c r="E3" s="25">
        <v>1.0</v>
      </c>
      <c r="F3" s="18" t="s">
        <v>56</v>
      </c>
      <c r="G3" s="18"/>
      <c r="H3" s="25" t="s">
        <v>171</v>
      </c>
    </row>
    <row r="4" ht="18.0" customHeight="1">
      <c r="A4" s="18" t="s">
        <v>101</v>
      </c>
      <c r="B4" s="18">
        <v>2025.0</v>
      </c>
      <c r="C4" s="18" t="s">
        <v>76</v>
      </c>
      <c r="D4" s="29" t="s">
        <v>172</v>
      </c>
      <c r="E4" s="25">
        <v>1.0</v>
      </c>
      <c r="F4" s="18" t="s">
        <v>56</v>
      </c>
      <c r="G4" s="18"/>
      <c r="H4" s="25" t="s">
        <v>171</v>
      </c>
    </row>
    <row r="5" ht="18.0" customHeight="1">
      <c r="A5" s="18" t="s">
        <v>101</v>
      </c>
      <c r="B5" s="18">
        <v>2025.0</v>
      </c>
      <c r="C5" s="18" t="s">
        <v>61</v>
      </c>
      <c r="D5" s="29" t="s">
        <v>173</v>
      </c>
      <c r="E5" s="43">
        <v>46143.0</v>
      </c>
      <c r="F5" s="18" t="s">
        <v>56</v>
      </c>
      <c r="G5" s="18"/>
      <c r="H5" s="25" t="s">
        <v>171</v>
      </c>
    </row>
    <row r="6" ht="18.0" customHeight="1">
      <c r="A6" s="18" t="s">
        <v>101</v>
      </c>
      <c r="B6" s="18">
        <v>2025.0</v>
      </c>
      <c r="C6" s="18" t="s">
        <v>65</v>
      </c>
      <c r="D6" s="29" t="s">
        <v>174</v>
      </c>
      <c r="E6" s="43">
        <v>46096.0</v>
      </c>
      <c r="F6" s="18" t="s">
        <v>56</v>
      </c>
      <c r="G6" s="18"/>
      <c r="H6" s="25" t="s">
        <v>171</v>
      </c>
    </row>
    <row r="7" ht="18.0" customHeight="1">
      <c r="A7" s="18" t="s">
        <v>101</v>
      </c>
      <c r="B7" s="18">
        <v>2025.0</v>
      </c>
      <c r="C7" s="18" t="s">
        <v>69</v>
      </c>
      <c r="D7" s="29" t="s">
        <v>175</v>
      </c>
      <c r="E7" s="25">
        <v>190.0</v>
      </c>
      <c r="F7" s="18" t="s">
        <v>56</v>
      </c>
      <c r="G7" s="18"/>
      <c r="H7" s="25" t="s">
        <v>171</v>
      </c>
    </row>
    <row r="8" ht="18.0" customHeight="1">
      <c r="A8" s="25" t="s">
        <v>106</v>
      </c>
      <c r="B8" s="18">
        <v>2025.0</v>
      </c>
      <c r="C8" s="18" t="s">
        <v>73</v>
      </c>
      <c r="D8" s="29"/>
      <c r="E8" s="25">
        <v>1.0</v>
      </c>
      <c r="F8" s="21" t="s">
        <v>56</v>
      </c>
      <c r="G8" s="22"/>
      <c r="H8" s="25"/>
    </row>
    <row r="9" ht="18.0" customHeight="1">
      <c r="A9" s="25" t="s">
        <v>106</v>
      </c>
      <c r="B9" s="18">
        <v>2025.0</v>
      </c>
      <c r="C9" s="18" t="s">
        <v>76</v>
      </c>
      <c r="D9" s="29"/>
      <c r="E9" s="25">
        <v>1.0</v>
      </c>
      <c r="F9" s="21" t="s">
        <v>56</v>
      </c>
      <c r="G9" s="22"/>
      <c r="H9" s="22"/>
    </row>
    <row r="10" ht="18.0" customHeight="1">
      <c r="A10" s="25" t="s">
        <v>106</v>
      </c>
      <c r="B10" s="18">
        <v>2025.0</v>
      </c>
      <c r="C10" s="18" t="s">
        <v>61</v>
      </c>
      <c r="D10" s="44">
        <v>4.4E10</v>
      </c>
      <c r="E10" s="43">
        <v>46204.0</v>
      </c>
      <c r="F10" s="21" t="s">
        <v>56</v>
      </c>
      <c r="G10" s="22"/>
      <c r="H10" s="38" t="s">
        <v>176</v>
      </c>
    </row>
    <row r="11" ht="18.0" customHeight="1">
      <c r="A11" s="25" t="s">
        <v>106</v>
      </c>
      <c r="B11" s="18">
        <v>2025.0</v>
      </c>
      <c r="C11" s="18" t="s">
        <v>65</v>
      </c>
      <c r="D11" s="29">
        <v>1.2E8</v>
      </c>
      <c r="E11" s="43">
        <v>46065.0</v>
      </c>
      <c r="F11" s="21" t="s">
        <v>56</v>
      </c>
      <c r="G11" s="22"/>
      <c r="H11" s="38" t="s">
        <v>177</v>
      </c>
    </row>
    <row r="12" ht="18.0" customHeight="1">
      <c r="A12" s="25" t="s">
        <v>106</v>
      </c>
      <c r="B12" s="18">
        <v>2025.0</v>
      </c>
      <c r="C12" s="18" t="s">
        <v>69</v>
      </c>
      <c r="D12" s="29">
        <v>3.5E7</v>
      </c>
      <c r="E12" s="25">
        <v>180.0</v>
      </c>
      <c r="F12" s="21" t="s">
        <v>60</v>
      </c>
      <c r="G12" s="22"/>
      <c r="H12" s="21" t="s">
        <v>178</v>
      </c>
    </row>
    <row r="13" ht="18.0" customHeight="1">
      <c r="A13" s="22"/>
      <c r="B13" s="22"/>
      <c r="C13" s="22"/>
      <c r="D13" s="30"/>
      <c r="E13" s="22"/>
      <c r="F13" s="22"/>
      <c r="G13" s="22"/>
      <c r="H13" s="22"/>
    </row>
    <row r="14" ht="18.0" customHeight="1">
      <c r="A14" s="22"/>
      <c r="B14" s="22"/>
      <c r="C14" s="22"/>
      <c r="D14" s="30"/>
      <c r="E14" s="22"/>
      <c r="F14" s="22"/>
      <c r="G14" s="22"/>
      <c r="H14" s="22"/>
    </row>
    <row r="15" ht="18.0" customHeight="1">
      <c r="A15" s="22"/>
      <c r="B15" s="22"/>
      <c r="C15" s="22"/>
      <c r="D15" s="30"/>
      <c r="E15" s="22"/>
      <c r="F15" s="22"/>
      <c r="G15" s="22"/>
      <c r="H15" s="22"/>
    </row>
    <row r="16" ht="18.0" customHeight="1">
      <c r="A16" s="22"/>
      <c r="B16" s="22"/>
      <c r="C16" s="22"/>
      <c r="D16" s="30"/>
      <c r="E16" s="22"/>
      <c r="F16" s="22"/>
      <c r="G16" s="22"/>
      <c r="H16" s="22"/>
    </row>
    <row r="17" ht="18.0" customHeight="1">
      <c r="A17" s="22"/>
      <c r="B17" s="22"/>
      <c r="C17" s="22"/>
      <c r="D17" s="30"/>
      <c r="E17" s="22"/>
      <c r="F17" s="22"/>
      <c r="G17" s="22"/>
      <c r="H17" s="22"/>
    </row>
    <row r="18" ht="18.0" customHeight="1">
      <c r="A18" s="22"/>
      <c r="B18" s="22"/>
      <c r="C18" s="22"/>
      <c r="D18" s="30"/>
      <c r="E18" s="22"/>
      <c r="F18" s="22"/>
      <c r="G18" s="22"/>
      <c r="H18" s="22"/>
    </row>
    <row r="19" ht="18.0" customHeight="1">
      <c r="A19" s="22"/>
      <c r="B19" s="22"/>
      <c r="C19" s="22"/>
      <c r="D19" s="30"/>
      <c r="E19" s="22"/>
      <c r="F19" s="22"/>
      <c r="G19" s="22"/>
      <c r="H19" s="22"/>
    </row>
    <row r="20" ht="18.0" customHeight="1">
      <c r="A20" s="22"/>
      <c r="B20" s="22"/>
      <c r="C20" s="22"/>
      <c r="D20" s="30"/>
      <c r="E20" s="22"/>
      <c r="F20" s="22"/>
      <c r="G20" s="22"/>
      <c r="H20" s="22"/>
    </row>
    <row r="21" ht="18.0" customHeight="1">
      <c r="A21" s="22"/>
      <c r="B21" s="22"/>
      <c r="C21" s="22"/>
      <c r="D21" s="30"/>
      <c r="E21" s="22"/>
      <c r="F21" s="22"/>
      <c r="G21" s="22"/>
      <c r="H21" s="22"/>
    </row>
    <row r="22" ht="18.0" customHeight="1">
      <c r="A22" s="22"/>
      <c r="B22" s="22"/>
      <c r="C22" s="22"/>
      <c r="D22" s="30"/>
      <c r="E22" s="22"/>
      <c r="F22" s="22"/>
      <c r="G22" s="22"/>
      <c r="H22" s="22"/>
    </row>
    <row r="23" ht="18.0" customHeight="1">
      <c r="A23" s="22"/>
      <c r="B23" s="22"/>
      <c r="C23" s="22"/>
      <c r="D23" s="30"/>
      <c r="E23" s="22"/>
      <c r="F23" s="22"/>
      <c r="G23" s="22"/>
      <c r="H23" s="22"/>
    </row>
    <row r="24" ht="18.0" customHeight="1">
      <c r="A24" s="22"/>
      <c r="B24" s="22"/>
      <c r="C24" s="22"/>
      <c r="D24" s="30"/>
      <c r="E24" s="22"/>
      <c r="F24" s="22"/>
      <c r="G24" s="22"/>
      <c r="H24" s="22"/>
    </row>
    <row r="25" ht="18.0" customHeight="1">
      <c r="A25" s="22"/>
      <c r="B25" s="22"/>
      <c r="C25" s="22"/>
      <c r="D25" s="30"/>
      <c r="E25" s="22"/>
      <c r="F25" s="22"/>
      <c r="G25" s="22"/>
      <c r="H25" s="22"/>
    </row>
    <row r="26" ht="18.0" customHeight="1">
      <c r="A26" s="22"/>
      <c r="B26" s="22"/>
      <c r="C26" s="22"/>
      <c r="D26" s="30"/>
      <c r="E26" s="22"/>
      <c r="F26" s="22"/>
      <c r="G26" s="22"/>
      <c r="H26" s="22"/>
    </row>
    <row r="27" ht="18.0" customHeight="1">
      <c r="A27" s="22"/>
      <c r="B27" s="22"/>
      <c r="C27" s="22"/>
      <c r="D27" s="30"/>
      <c r="E27" s="22"/>
      <c r="F27" s="22"/>
      <c r="G27" s="22"/>
      <c r="H27" s="22"/>
    </row>
    <row r="28" ht="18.0" customHeight="1">
      <c r="A28" s="22"/>
      <c r="B28" s="22"/>
      <c r="C28" s="22"/>
      <c r="D28" s="30"/>
      <c r="E28" s="22"/>
      <c r="F28" s="22"/>
      <c r="G28" s="22"/>
      <c r="H28" s="22"/>
    </row>
    <row r="29" ht="18.0" customHeight="1">
      <c r="A29" s="22"/>
      <c r="B29" s="22"/>
      <c r="C29" s="22"/>
      <c r="D29" s="30"/>
      <c r="E29" s="22"/>
      <c r="F29" s="22"/>
      <c r="G29" s="22"/>
      <c r="H29" s="22"/>
    </row>
    <row r="30" ht="18.0" customHeight="1">
      <c r="A30" s="22"/>
      <c r="B30" s="22"/>
      <c r="C30" s="22"/>
      <c r="D30" s="30"/>
      <c r="E30" s="22"/>
      <c r="F30" s="22"/>
      <c r="G30" s="22"/>
      <c r="H30" s="22"/>
    </row>
    <row r="31" ht="18.0" customHeight="1">
      <c r="A31" s="22"/>
      <c r="B31" s="22"/>
      <c r="C31" s="22"/>
      <c r="D31" s="30"/>
      <c r="E31" s="22"/>
      <c r="F31" s="22"/>
      <c r="G31" s="22"/>
      <c r="H31" s="22"/>
    </row>
    <row r="32" ht="18.0" customHeight="1">
      <c r="A32" s="22"/>
      <c r="B32" s="22"/>
      <c r="C32" s="22"/>
      <c r="D32" s="30"/>
      <c r="E32" s="22"/>
      <c r="F32" s="22"/>
      <c r="G32" s="22"/>
      <c r="H32" s="22"/>
    </row>
    <row r="33" ht="18.0" customHeight="1">
      <c r="A33" s="22"/>
      <c r="B33" s="22"/>
      <c r="C33" s="22"/>
      <c r="D33" s="30"/>
      <c r="E33" s="22"/>
      <c r="F33" s="22"/>
      <c r="G33" s="22"/>
      <c r="H33" s="22"/>
    </row>
    <row r="34" ht="18.0" customHeight="1">
      <c r="A34" s="22"/>
      <c r="B34" s="22"/>
      <c r="C34" s="22"/>
      <c r="D34" s="30"/>
      <c r="E34" s="22"/>
      <c r="F34" s="22"/>
      <c r="G34" s="22"/>
      <c r="H34" s="22"/>
    </row>
    <row r="35" ht="18.0" customHeight="1">
      <c r="A35" s="22"/>
      <c r="B35" s="22"/>
      <c r="C35" s="22"/>
      <c r="D35" s="30"/>
      <c r="E35" s="22"/>
      <c r="F35" s="22"/>
      <c r="G35" s="22"/>
      <c r="H35" s="22"/>
    </row>
    <row r="36" ht="18.0" customHeight="1">
      <c r="A36" s="22"/>
      <c r="B36" s="22"/>
      <c r="C36" s="22"/>
      <c r="D36" s="30"/>
      <c r="E36" s="22"/>
      <c r="F36" s="22"/>
      <c r="G36" s="22"/>
      <c r="H36" s="22"/>
    </row>
    <row r="37" ht="18.0" customHeight="1">
      <c r="A37" s="22"/>
      <c r="B37" s="22"/>
      <c r="C37" s="22"/>
      <c r="D37" s="30"/>
      <c r="E37" s="22"/>
      <c r="F37" s="22"/>
      <c r="G37" s="22"/>
      <c r="H37" s="22"/>
    </row>
    <row r="38" ht="18.0" customHeight="1">
      <c r="A38" s="22"/>
      <c r="B38" s="22"/>
      <c r="C38" s="22"/>
      <c r="D38" s="30"/>
      <c r="E38" s="22"/>
      <c r="F38" s="22"/>
      <c r="G38" s="22"/>
      <c r="H38" s="22"/>
    </row>
    <row r="39" ht="18.0" customHeight="1">
      <c r="A39" s="22"/>
      <c r="B39" s="22"/>
      <c r="C39" s="22"/>
      <c r="D39" s="30"/>
      <c r="E39" s="22"/>
      <c r="F39" s="22"/>
      <c r="G39" s="22"/>
      <c r="H39" s="22"/>
    </row>
    <row r="40" ht="18.0" customHeight="1">
      <c r="A40" s="22"/>
      <c r="B40" s="22"/>
      <c r="C40" s="22"/>
      <c r="D40" s="30"/>
      <c r="E40" s="22"/>
      <c r="F40" s="22"/>
      <c r="G40" s="22"/>
      <c r="H40" s="22"/>
    </row>
    <row r="41" ht="18.0" customHeight="1">
      <c r="A41" s="22"/>
      <c r="B41" s="22"/>
      <c r="C41" s="22"/>
      <c r="D41" s="30"/>
      <c r="E41" s="22"/>
      <c r="F41" s="22"/>
      <c r="G41" s="22"/>
      <c r="H41" s="22"/>
    </row>
    <row r="42" ht="18.0" customHeight="1">
      <c r="A42" s="22"/>
      <c r="B42" s="22"/>
      <c r="C42" s="22"/>
      <c r="D42" s="30"/>
      <c r="E42" s="22"/>
      <c r="F42" s="22"/>
      <c r="G42" s="22"/>
      <c r="H42" s="22"/>
    </row>
    <row r="43" ht="18.0" customHeight="1">
      <c r="A43" s="22"/>
      <c r="B43" s="22"/>
      <c r="C43" s="22"/>
      <c r="D43" s="30"/>
      <c r="E43" s="22"/>
      <c r="F43" s="22"/>
      <c r="G43" s="22"/>
      <c r="H43" s="22"/>
    </row>
    <row r="44" ht="18.0" customHeight="1">
      <c r="A44" s="22"/>
      <c r="B44" s="22"/>
      <c r="C44" s="22"/>
      <c r="D44" s="30"/>
      <c r="E44" s="22"/>
      <c r="F44" s="22"/>
      <c r="G44" s="22"/>
      <c r="H44" s="22"/>
    </row>
    <row r="45" ht="18.0" customHeight="1">
      <c r="A45" s="22"/>
      <c r="B45" s="22"/>
      <c r="C45" s="22"/>
      <c r="D45" s="30"/>
      <c r="E45" s="22"/>
      <c r="F45" s="22"/>
      <c r="G45" s="22"/>
      <c r="H45" s="22"/>
    </row>
    <row r="46" ht="18.0" customHeight="1">
      <c r="A46" s="22"/>
      <c r="B46" s="22"/>
      <c r="C46" s="22"/>
      <c r="D46" s="30"/>
      <c r="E46" s="22"/>
      <c r="F46" s="22"/>
      <c r="G46" s="22"/>
      <c r="H46" s="2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">
    <mergeCell ref="A1:H1"/>
  </mergeCells>
  <dataValidations>
    <dataValidation type="list" allowBlank="1" sqref="C3:C46">
      <formula1>'✅ validations'!$A$2:$A$10</formula1>
    </dataValidation>
    <dataValidation type="list" allowBlank="1" sqref="F3:F46">
      <formula1>'✅ validations'!$D$2:$D$7</formula1>
    </dataValidation>
  </dataValidations>
  <hyperlinks>
    <hyperlink r:id="rId1" ref="H10"/>
    <hyperlink r:id="rId2" ref="H11"/>
  </hyperlinks>
  <printOptions/>
  <pageMargins bottom="1.0" footer="0.0" header="0.0" left="0.75" right="0.75" top="1.0"/>
  <pageSetup orientation="landscape"/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213.43"/>
    <col customWidth="1" min="4" max="18" width="8.71"/>
  </cols>
  <sheetData>
    <row r="1" ht="30.0" customHeight="1">
      <c r="A1" s="40" t="s">
        <v>119</v>
      </c>
      <c r="B1" s="15"/>
      <c r="C1" s="4"/>
    </row>
    <row r="2" ht="61.5" customHeight="1">
      <c r="A2" s="16" t="s">
        <v>127</v>
      </c>
      <c r="B2" s="16" t="s">
        <v>113</v>
      </c>
      <c r="C2" s="16" t="s">
        <v>119</v>
      </c>
    </row>
    <row r="3">
      <c r="A3" s="18" t="s">
        <v>101</v>
      </c>
      <c r="B3" s="18">
        <v>2025.0</v>
      </c>
      <c r="C3" s="25" t="s">
        <v>179</v>
      </c>
    </row>
    <row r="4" ht="18.0" customHeight="1">
      <c r="A4" s="22"/>
      <c r="B4" s="22"/>
      <c r="C4" s="22"/>
    </row>
    <row r="5" ht="18.0" customHeight="1">
      <c r="A5" s="22"/>
      <c r="B5" s="22"/>
      <c r="C5" s="22"/>
    </row>
    <row r="6" ht="18.0" customHeight="1">
      <c r="A6" s="22"/>
      <c r="B6" s="22"/>
      <c r="C6" s="22"/>
    </row>
    <row r="7" ht="18.0" customHeight="1">
      <c r="A7" s="22"/>
      <c r="B7" s="22"/>
      <c r="C7" s="22"/>
    </row>
    <row r="8" ht="18.0" customHeight="1">
      <c r="A8" s="22"/>
      <c r="B8" s="22"/>
      <c r="C8" s="22"/>
    </row>
    <row r="9" ht="18.0" customHeight="1">
      <c r="A9" s="22"/>
      <c r="B9" s="22"/>
      <c r="C9" s="22"/>
    </row>
    <row r="10" ht="18.0" customHeight="1">
      <c r="A10" s="22"/>
      <c r="B10" s="22"/>
      <c r="C10" s="22"/>
    </row>
    <row r="11" ht="18.0" customHeight="1">
      <c r="A11" s="22"/>
      <c r="B11" s="22"/>
      <c r="C11" s="22"/>
    </row>
    <row r="12" ht="18.0" customHeight="1">
      <c r="A12" s="22"/>
      <c r="B12" s="22"/>
      <c r="C12" s="22"/>
    </row>
    <row r="13" ht="18.0" customHeight="1">
      <c r="A13" s="22"/>
      <c r="B13" s="22"/>
      <c r="C13" s="22"/>
    </row>
    <row r="14" ht="18.0" customHeight="1">
      <c r="A14" s="22"/>
      <c r="B14" s="22"/>
      <c r="C14" s="22"/>
    </row>
    <row r="15" ht="18.0" customHeight="1">
      <c r="A15" s="22"/>
      <c r="B15" s="22"/>
      <c r="C15" s="22"/>
    </row>
    <row r="16" ht="18.0" customHeight="1">
      <c r="A16" s="22"/>
      <c r="B16" s="22"/>
      <c r="C16" s="22"/>
    </row>
    <row r="17" ht="18.0" customHeight="1">
      <c r="A17" s="22"/>
      <c r="B17" s="22"/>
      <c r="C17" s="22"/>
    </row>
    <row r="18" ht="18.0" customHeight="1">
      <c r="A18" s="22"/>
      <c r="B18" s="22"/>
      <c r="C18" s="22"/>
    </row>
    <row r="19" ht="18.0" customHeight="1">
      <c r="A19" s="22"/>
      <c r="B19" s="22"/>
      <c r="C19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